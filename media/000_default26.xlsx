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" sheetId="1" r:id="rId5"/>
    <sheet state="visible" name="21-2026_test1" sheetId="2" r:id="rId6"/>
    <sheet state="visible" name="20-2026_Zeelandia" sheetId="3" r:id="rId7"/>
  </sheets>
  <definedNames>
    <definedName hidden="1" localSheetId="1" name="_xlnm._FilterDatabase">'21-2026_test1'!$A$4:$F$158</definedName>
    <definedName hidden="1" localSheetId="2" name="_xlnm._FilterDatabase">'20-2026_Zeelandia'!$A$4:$F$158</definedName>
  </definedNames>
  <calcPr/>
</workbook>
</file>

<file path=xl/sharedStrings.xml><?xml version="1.0" encoding="utf-8"?>
<sst xmlns="http://schemas.openxmlformats.org/spreadsheetml/2006/main" count="465" uniqueCount="157">
  <si>
    <t>nabídka č.:</t>
  </si>
  <si>
    <t>20</t>
  </si>
  <si>
    <t>Akce:</t>
  </si>
  <si>
    <t>Zeelandia</t>
  </si>
  <si>
    <t>dnů/h</t>
  </si>
  <si>
    <t>počet</t>
  </si>
  <si>
    <t>cena/ks</t>
  </si>
  <si>
    <t>celkem</t>
  </si>
  <si>
    <t>Ground support</t>
  </si>
  <si>
    <t>Zastřešení 7x5m 290T tower 5m</t>
  </si>
  <si>
    <t>Zastřešení 9x7m 290QD tower 6m</t>
  </si>
  <si>
    <t>Zastřešení 10x8m 390QD tower 290 8m</t>
  </si>
  <si>
    <t>Zastřešení 10x10m 390QD tower 290 8m</t>
  </si>
  <si>
    <t>Zastřešení 12x10m 390QD tower 290 8m</t>
  </si>
  <si>
    <t>Zastřešení 11,5x11,5m 520HD tower 390 8m Heavy</t>
  </si>
  <si>
    <t>Zastřešení  16x12m  520HD tower 390 11m Heavy</t>
  </si>
  <si>
    <t>Back truss (pro světla + backdrop)</t>
  </si>
  <si>
    <t xml:space="preserve">Mid truss pro světla </t>
  </si>
  <si>
    <t>Motor 1T chainmaster 24m</t>
  </si>
  <si>
    <t>Motor 0,5T exe motors D8 + 24m</t>
  </si>
  <si>
    <t>Ovládání motory 6ch + příslušenství</t>
  </si>
  <si>
    <t>Podium mobilní 6x8m + schody</t>
  </si>
  <si>
    <t>Podium nivtec deska 1x2m + nohy</t>
  </si>
  <si>
    <t>Podium nivtec rozměr : 10x8 + schody + zábradlí</t>
  </si>
  <si>
    <t xml:space="preserve">riser pro bicí 3x2m </t>
  </si>
  <si>
    <t xml:space="preserve">riser pro </t>
  </si>
  <si>
    <t>Kabelový přejezd 3,5t</t>
  </si>
  <si>
    <t>Přípravna 2x4m</t>
  </si>
  <si>
    <t>Truss Front 10m</t>
  </si>
  <si>
    <t>Truss 3m + patle</t>
  </si>
  <si>
    <t>Nášlapový plot 12m</t>
  </si>
  <si>
    <t>VMB TE 74</t>
  </si>
  <si>
    <t>Zvuková technika</t>
  </si>
  <si>
    <t>Reproboxy:</t>
  </si>
  <si>
    <t>d&amp;b audiotechnik V8</t>
  </si>
  <si>
    <t>d&amp;b audiotechnik V12</t>
  </si>
  <si>
    <t>d&amp;b audiotechnik V-SUB</t>
  </si>
  <si>
    <t>d&amp;b audiotechnik J-SUB</t>
  </si>
  <si>
    <t>d&amp;b audiotechnik Y10P</t>
  </si>
  <si>
    <t>d&amp;b audiotechnik V7P</t>
  </si>
  <si>
    <t>d&amp;b audiotechnik M4 (monitor)</t>
  </si>
  <si>
    <t>d&amp;b audiotechnik E8</t>
  </si>
  <si>
    <t>d&amp;b audiotechnik CCL8/12</t>
  </si>
  <si>
    <t>d&amp;b audiotechnik MAX2</t>
  </si>
  <si>
    <t>odposlechový box M6</t>
  </si>
  <si>
    <t>Zesilovače:</t>
  </si>
  <si>
    <t>QSC PL 4.24</t>
  </si>
  <si>
    <t>d&amp;b audiotechnik D40</t>
  </si>
  <si>
    <t>d&amp;b audiotechnik D80</t>
  </si>
  <si>
    <t>Příslušenství:</t>
  </si>
  <si>
    <t>V-Fliing frame</t>
  </si>
  <si>
    <t>CCL Fliing frame</t>
  </si>
  <si>
    <t>Kabely k PA NLT8/NLT4 sada 1</t>
  </si>
  <si>
    <t>Kabely k PA NLT8/NLT4 sada 2</t>
  </si>
  <si>
    <t>Kabely k PA NLT8/NLT4 sada 3</t>
  </si>
  <si>
    <t>Kabely k PA NLT8/NLT4 sada 4</t>
  </si>
  <si>
    <t>Mixážní pulty:</t>
  </si>
  <si>
    <t>Behringer X32R + SD8</t>
  </si>
  <si>
    <t>Allen&amp;Heath SQ5 + 2xDX168 stagebox</t>
  </si>
  <si>
    <t>Allen&amp;Heath SQ6 + 2xDX168T DANTE</t>
  </si>
  <si>
    <t>Midas Pro 2 + Stagebox 48in 16out</t>
  </si>
  <si>
    <t>Allen&amp;Heath Dlive C2500 MixRack DM32</t>
  </si>
  <si>
    <t>Mikrofony, stativy, bezdrátové systémy</t>
  </si>
  <si>
    <t>Mikrofony + stativy sada festival 1</t>
  </si>
  <si>
    <t>Mikrofony + stativy sada festival 2</t>
  </si>
  <si>
    <t>Mikrofony + stativy sada festival 3</t>
  </si>
  <si>
    <t xml:space="preserve">Mikrofony + stativy Velká sada </t>
  </si>
  <si>
    <t>Stativ malý</t>
  </si>
  <si>
    <t>Stativ V7P</t>
  </si>
  <si>
    <t>Stativ VIP</t>
  </si>
  <si>
    <t>Bezdrátový mikrofon Shure QLXD</t>
  </si>
  <si>
    <t>Bezdrátový mikrofon Sennheiser 2x HAND</t>
  </si>
  <si>
    <t>Bezdrátový mikrofon Sennheiser EW500G4</t>
  </si>
  <si>
    <t>Bezdrátový mikrofon AKG</t>
  </si>
  <si>
    <t>Rozvaděče, kabely a příslušenství</t>
  </si>
  <si>
    <t>Kompletní rozvod 400V/230V (rozvaděč, kabely)</t>
  </si>
  <si>
    <t>Kabely XLR + multicore  sada 1</t>
  </si>
  <si>
    <t>Kabely XLR + multicore  sada 2</t>
  </si>
  <si>
    <t>Kabely XLR + multicore  sada 3</t>
  </si>
  <si>
    <t>Kabely XLR + multicore  sada 4</t>
  </si>
  <si>
    <t>Světelná technika</t>
  </si>
  <si>
    <t>Statická světla</t>
  </si>
  <si>
    <t>Arri 1000W</t>
  </si>
  <si>
    <t>Arri 2000W</t>
  </si>
  <si>
    <t>Chauvet LED front fresnell 140W</t>
  </si>
  <si>
    <t>Front LED</t>
  </si>
  <si>
    <t xml:space="preserve">Blinder 4CH pasive </t>
  </si>
  <si>
    <t>Blinder 2CH pasive</t>
  </si>
  <si>
    <t>LED PAR 18x12w IP68</t>
  </si>
  <si>
    <t>LED PAR bateriový bezdrátové DMX IP68</t>
  </si>
  <si>
    <t>Sunstrip</t>
  </si>
  <si>
    <t>Follow spot</t>
  </si>
  <si>
    <t>Otočné hlavy</t>
  </si>
  <si>
    <t>Movin head wash PR lighting</t>
  </si>
  <si>
    <t>Moving head wash ROBE 600E</t>
  </si>
  <si>
    <t>Moving head beam/spot pointe</t>
  </si>
  <si>
    <t>Moving head ROBE Spider</t>
  </si>
  <si>
    <t>Moving head ROBE Pointe</t>
  </si>
  <si>
    <t>Moving head ROBE LED beam 100</t>
  </si>
  <si>
    <t>Ovládací pulty, dimmery</t>
  </si>
  <si>
    <t>Dimmer 4ch</t>
  </si>
  <si>
    <t>Dimmer 16ch</t>
  </si>
  <si>
    <t>Dimmer 64ch</t>
  </si>
  <si>
    <t xml:space="preserve">Ovládací PC na světla chamsys </t>
  </si>
  <si>
    <t>Světelný pult chamsys PC wing</t>
  </si>
  <si>
    <t>Světelný pult chamsys MQ80</t>
  </si>
  <si>
    <t>Mega Haze foss (výkonný výrobník mlhy)</t>
  </si>
  <si>
    <t>Hazer unique II +  náplň</t>
  </si>
  <si>
    <t xml:space="preserve">rozvody DMX festival + splitt </t>
  </si>
  <si>
    <t>rozvody DMX + Artnet + splitt</t>
  </si>
  <si>
    <t>LED obrazovky + video</t>
  </si>
  <si>
    <t>LED OBRAZOVKA P3,9</t>
  </si>
  <si>
    <t>LED OBRAZOVKA P6</t>
  </si>
  <si>
    <t>LED OBRAZOVKA P2,6</t>
  </si>
  <si>
    <t>rozvody 230 V / 400 V / rozvaděče /sestava / IP 65</t>
  </si>
  <si>
    <t>rozvody signál obrazu  /4  kamery / střižna / distribuce</t>
  </si>
  <si>
    <t>videorežie Roland V60 HD, PC</t>
  </si>
  <si>
    <t xml:space="preserve">Kamera + stativ SONY </t>
  </si>
  <si>
    <r>
      <rPr>
        <rFont val="Exo"/>
        <b/>
        <color theme="1"/>
        <sz val="11.0"/>
      </rPr>
      <t xml:space="preserve">Videorežie Základní sestava : </t>
    </r>
    <r>
      <rPr>
        <rFont val="Exo"/>
        <color theme="1"/>
        <sz val="11.0"/>
      </rPr>
      <t xml:space="preserve">                    Blackmagic atem, 2x Kamera, Bezdrátová komunikace, kompletní přípojné optické body pro kamery, základní příprava videa pro LED</t>
    </r>
  </si>
  <si>
    <r>
      <rPr>
        <rFont val="Exo"/>
        <b/>
        <color theme="1"/>
        <sz val="11.0"/>
      </rPr>
      <t xml:space="preserve">Videorežiie Standardní verze:                                  </t>
    </r>
    <r>
      <rPr>
        <rFont val="Exo"/>
        <color theme="1"/>
        <sz val="11.0"/>
      </rPr>
      <t xml:space="preserve"> BLACKMAGIC ATEM PRO, 3x kamera 4kPro Kompletní optické propojení pro kamery, bezdrátová komunikace, záznamové zařízení pro záznam z kamer                  </t>
    </r>
  </si>
  <si>
    <r>
      <rPr>
        <rFont val="Exo"/>
        <b/>
        <color theme="1"/>
        <sz val="11.0"/>
      </rPr>
      <t xml:space="preserve">Videorežiie PRO verze:                                  </t>
    </r>
    <r>
      <rPr>
        <rFont val="Exo"/>
        <color theme="1"/>
        <sz val="11.0"/>
      </rPr>
      <t xml:space="preserve"> BLACKMAGIC server, 4x kamera 4kPro, 2x kamera mini, Kompletní optické propojení pro kamery, bezdrátová komunikace, záznamové zařízení pro záznam z kamer,                   </t>
    </r>
  </si>
  <si>
    <t>Technický personál</t>
  </si>
  <si>
    <t>Technická produkce on site</t>
  </si>
  <si>
    <t xml:space="preserve">Hlavní rigger </t>
  </si>
  <si>
    <t xml:space="preserve">Stage hands </t>
  </si>
  <si>
    <t>Systémový technik (nastavení PA)</t>
  </si>
  <si>
    <t>Hlavní zvukař</t>
  </si>
  <si>
    <t>Monitorový zvukař</t>
  </si>
  <si>
    <t>Podiový technik</t>
  </si>
  <si>
    <t>Hlavní osvětlovač</t>
  </si>
  <si>
    <t xml:space="preserve">Technik světla </t>
  </si>
  <si>
    <t>Obsluha LED režie</t>
  </si>
  <si>
    <t>Kameraman</t>
  </si>
  <si>
    <t>Doprava</t>
  </si>
  <si>
    <t xml:space="preserve">Iveco daily 3,5T </t>
  </si>
  <si>
    <t>Peugeot Boger 3,5T</t>
  </si>
  <si>
    <t xml:space="preserve">Iveco 7,5T </t>
  </si>
  <si>
    <t>Volvo 12T</t>
  </si>
  <si>
    <t>DAF 30T tandem</t>
  </si>
  <si>
    <t>Osobní automobil</t>
  </si>
  <si>
    <t>Technika celkem</t>
  </si>
  <si>
    <t>Cena celkem</t>
  </si>
  <si>
    <t>sleva na techniku</t>
  </si>
  <si>
    <t>%</t>
  </si>
  <si>
    <t>Celková cena bez DPH</t>
  </si>
  <si>
    <t>21</t>
  </si>
  <si>
    <t>test1</t>
  </si>
  <si>
    <t>Back truss 10m</t>
  </si>
  <si>
    <t>Mikrofony + srtativy Velká sada 4</t>
  </si>
  <si>
    <t>Moving head wash 19x15w</t>
  </si>
  <si>
    <t>Moving head Spot Viper Martin Mac</t>
  </si>
  <si>
    <r>
      <rPr>
        <rFont val="Exo"/>
        <b/>
        <color theme="1"/>
        <sz val="11.0"/>
      </rPr>
      <t xml:space="preserve">Videorežie Základní sestava : </t>
    </r>
    <r>
      <rPr>
        <rFont val="Exo"/>
        <color theme="1"/>
        <sz val="11.0"/>
      </rPr>
      <t xml:space="preserve">                    Blackmagic atem, 2x Kamera, Bezdrátová komunikace, kompletní přípojné optické body pro kamery, základní příprava videa pro LED</t>
    </r>
  </si>
  <si>
    <r>
      <rPr>
        <rFont val="Exo"/>
        <b/>
        <color theme="1"/>
        <sz val="11.0"/>
      </rPr>
      <t xml:space="preserve">Videorežiie Standardní verze:                                  </t>
    </r>
    <r>
      <rPr>
        <rFont val="Exo"/>
        <color theme="1"/>
        <sz val="11.0"/>
      </rPr>
      <t xml:space="preserve"> BLACKMAGIC ATEM PRO, 3x kamera 4kPro Kompletní optické propojení pro kamery, bezdrátová komunikace, záznamové zařízení pro záznam z kamer                  </t>
    </r>
  </si>
  <si>
    <r>
      <rPr>
        <rFont val="Exo"/>
        <b/>
        <color theme="1"/>
        <sz val="11.0"/>
      </rPr>
      <t xml:space="preserve">Videorežiie PRO verze:                                  </t>
    </r>
    <r>
      <rPr>
        <rFont val="Exo"/>
        <color theme="1"/>
        <sz val="11.0"/>
      </rPr>
      <t xml:space="preserve"> BLACKMAGIC server, 4x kamera 4kPro, 2x kamera mini, Kompletní optické propojení pro kamery, bezdrátová komunikace, záznamové zařízení pro záznam z kamer,                   </t>
    </r>
  </si>
  <si>
    <r>
      <rPr>
        <rFont val="Exo"/>
        <b/>
        <color theme="1"/>
        <sz val="11.0"/>
      </rPr>
      <t xml:space="preserve">Videorežie Základní sestava : </t>
    </r>
    <r>
      <rPr>
        <rFont val="Exo"/>
        <color theme="1"/>
        <sz val="11.0"/>
      </rPr>
      <t xml:space="preserve">                    Blackmagic atem, 2x Kamera, Bezdrátová komunikace, kompletní přípojné optické body pro kamery, základní příprava videa pro LED</t>
    </r>
  </si>
  <si>
    <r>
      <rPr>
        <rFont val="Exo"/>
        <b/>
        <color theme="1"/>
        <sz val="11.0"/>
      </rPr>
      <t xml:space="preserve">Videorežiie Standardní verze:                                  </t>
    </r>
    <r>
      <rPr>
        <rFont val="Exo"/>
        <color theme="1"/>
        <sz val="11.0"/>
      </rPr>
      <t xml:space="preserve"> BLACKMAGIC ATEM PRO, 3x kamera 4kPro Kompletní optické propojení pro kamery, bezdrátová komunikace, záznamové zařízení pro záznam z kamer                  </t>
    </r>
  </si>
  <si>
    <r>
      <rPr>
        <rFont val="Exo"/>
        <b/>
        <color theme="1"/>
        <sz val="11.0"/>
      </rPr>
      <t xml:space="preserve">Videorežiie PRO verze:                                  </t>
    </r>
    <r>
      <rPr>
        <rFont val="Exo"/>
        <color theme="1"/>
        <sz val="11.0"/>
      </rPr>
      <t xml:space="preserve"> BLACKMAGIC server, 4x kamera 4kPro, 2x kamera mini, Kompletní optické propojení pro kamery, bezdrátová komunikace, záznamové zařízení pro záznam z kamer,                  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</si>
</sst>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\ &quot;Kč&quot;"/>
  </numFmts>
  <fonts count="17">
    <font>
      <sz val="11.0"/>
      <color theme="1"/>
      <name val="Calibri"/>
      <scheme val="minor"/>
    </font>
    <font>
      <b/>
      <u/>
      <sz val="11.0"/>
      <color theme="1"/>
      <name val="Exo"/>
    </font>
    <font>
      <b/>
      <u/>
      <sz val="11.0"/>
      <color theme="1"/>
      <name val="Exo"/>
    </font>
    <font>
      <b/>
      <u/>
      <sz val="11.0"/>
      <color theme="1"/>
      <name val="Exo"/>
    </font>
    <font>
      <b/>
      <u/>
      <sz val="11.0"/>
      <color theme="1"/>
      <name val="Exo"/>
    </font>
    <font>
      <i/>
      <sz val="11.0"/>
      <color theme="1"/>
      <name val="Exo"/>
    </font>
    <font>
      <b/>
      <u/>
      <sz val="11.0"/>
      <color theme="1"/>
      <name val="Exo"/>
    </font>
    <font>
      <b/>
      <sz val="11.0"/>
      <color theme="1"/>
      <name val="Calibri"/>
    </font>
    <font>
      <b/>
      <sz val="11.0"/>
      <color theme="1"/>
      <name val="Exo"/>
    </font>
    <font/>
    <font>
      <sz val="11.0"/>
      <color theme="1"/>
      <name val="Calibri"/>
    </font>
    <font>
      <sz val="11.0"/>
      <color theme="0"/>
      <name val="Calibri"/>
    </font>
    <font>
      <sz val="11.0"/>
      <color theme="1"/>
      <name val="Exo"/>
    </font>
    <font>
      <sz val="11.0"/>
      <color theme="0"/>
      <name val="Exo"/>
    </font>
    <font>
      <sz val="11.0"/>
      <color rgb="FFFFFFFF"/>
      <name val="Exo"/>
    </font>
    <font>
      <b/>
      <sz val="14.0"/>
      <color theme="1"/>
      <name val="Exo"/>
    </font>
    <font>
      <b/>
      <sz val="14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right" readingOrder="0"/>
    </xf>
    <xf borderId="0" fillId="0" fontId="5" numFmtId="4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/>
    </xf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/>
    </xf>
    <xf borderId="1" fillId="0" fontId="8" numFmtId="0" xfId="0" applyAlignment="1" applyBorder="1" applyFont="1">
      <alignment horizontal="left"/>
    </xf>
    <xf borderId="1" fillId="0" fontId="9" numFmtId="0" xfId="0" applyBorder="1" applyFont="1"/>
    <xf borderId="1" fillId="0" fontId="8" numFmtId="0" xfId="0" applyAlignment="1" applyBorder="1" applyFont="1">
      <alignment horizontal="center"/>
    </xf>
    <xf borderId="1" fillId="0" fontId="10" numFmtId="0" xfId="0" applyBorder="1" applyFont="1"/>
    <xf borderId="1" fillId="0" fontId="11" numFmtId="164" xfId="0" applyBorder="1" applyFont="1" applyNumberFormat="1"/>
    <xf borderId="0" fillId="0" fontId="8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2" numFmtId="0" xfId="0" applyAlignment="1" applyFont="1">
      <alignment horizontal="right"/>
    </xf>
    <xf borderId="0" fillId="0" fontId="12" numFmtId="0" xfId="0" applyAlignment="1" applyFont="1">
      <alignment readingOrder="0"/>
    </xf>
    <xf borderId="0" fillId="0" fontId="12" numFmtId="0" xfId="0" applyFont="1"/>
    <xf borderId="0" fillId="0" fontId="12" numFmtId="164" xfId="0" applyFont="1" applyNumberFormat="1"/>
    <xf borderId="0" fillId="0" fontId="12" numFmtId="0" xfId="0" applyAlignment="1" applyFont="1">
      <alignment horizontal="right" readingOrder="0"/>
    </xf>
    <xf borderId="1" fillId="0" fontId="12" numFmtId="0" xfId="0" applyAlignment="1" applyBorder="1" applyFont="1">
      <alignment horizontal="right"/>
    </xf>
    <xf borderId="1" fillId="0" fontId="12" numFmtId="0" xfId="0" applyBorder="1" applyFont="1"/>
    <xf borderId="1" fillId="0" fontId="13" numFmtId="164" xfId="0" applyBorder="1" applyFont="1" applyNumberFormat="1"/>
    <xf borderId="0" fillId="0" fontId="8" numFmtId="0" xfId="0" applyFont="1"/>
    <xf borderId="0" fillId="0" fontId="13" numFmtId="164" xfId="0" applyFont="1" applyNumberFormat="1"/>
    <xf borderId="0" fillId="0" fontId="12" numFmtId="0" xfId="0" applyAlignment="1" applyFont="1">
      <alignment readingOrder="0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left" shrinkToFit="0" vertical="center" wrapText="1"/>
    </xf>
    <xf borderId="2" fillId="0" fontId="12" numFmtId="0" xfId="0" applyAlignment="1" applyBorder="1" applyFont="1">
      <alignment horizontal="center"/>
    </xf>
    <xf borderId="2" fillId="0" fontId="9" numFmtId="0" xfId="0" applyBorder="1" applyFont="1"/>
    <xf borderId="2" fillId="0" fontId="12" numFmtId="0" xfId="0" applyBorder="1" applyFont="1"/>
    <xf borderId="2" fillId="0" fontId="12" numFmtId="164" xfId="0" applyBorder="1" applyFont="1" applyNumberFormat="1"/>
    <xf borderId="0" fillId="0" fontId="12" numFmtId="0" xfId="0" applyAlignment="1" applyFont="1">
      <alignment horizontal="center"/>
    </xf>
    <xf borderId="1" fillId="0" fontId="12" numFmtId="164" xfId="0" applyBorder="1" applyFont="1" applyNumberFormat="1"/>
    <xf borderId="0" fillId="0" fontId="14" numFmtId="164" xfId="0" applyAlignment="1" applyFont="1" applyNumberFormat="1">
      <alignment readingOrder="0"/>
    </xf>
    <xf borderId="0" fillId="0" fontId="12" numFmtId="1" xfId="0" applyAlignment="1" applyFont="1" applyNumberFormat="1">
      <alignment horizontal="right" readingOrder="0"/>
    </xf>
    <xf borderId="0" fillId="0" fontId="15" numFmtId="0" xfId="0" applyAlignment="1" applyFont="1">
      <alignment horizontal="right"/>
    </xf>
    <xf borderId="0" fillId="0" fontId="16" numFmtId="0" xfId="0" applyFont="1"/>
    <xf borderId="0" fillId="0" fontId="16" numFmtId="164" xfId="0" applyFont="1" applyNumberFormat="1"/>
    <xf borderId="0" fillId="0" fontId="10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105025" cy="733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105025" cy="7334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2105025" cy="7334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51.43"/>
    <col customWidth="1" min="3" max="3" width="6.29"/>
    <col customWidth="1" min="4" max="4" width="6.14"/>
    <col customWidth="1" min="5" max="5" width="8.0"/>
    <col customWidth="1" min="6" max="6" width="15.86"/>
    <col customWidth="1" min="7" max="26" width="8.86"/>
  </cols>
  <sheetData>
    <row r="1">
      <c r="A1" s="1"/>
      <c r="B1" s="2"/>
      <c r="C1" s="3"/>
      <c r="E1" s="3"/>
    </row>
    <row r="2">
      <c r="A2" s="1"/>
      <c r="B2" s="4" t="s">
        <v>0</v>
      </c>
      <c r="C2" s="5" t="s">
        <v>1</v>
      </c>
      <c r="D2" s="6">
        <v>2026.0</v>
      </c>
      <c r="E2" s="3"/>
      <c r="F2" s="3"/>
    </row>
    <row r="3">
      <c r="A3" s="1"/>
      <c r="B3" s="2" t="s">
        <v>2</v>
      </c>
      <c r="C3" s="7" t="s">
        <v>3</v>
      </c>
    </row>
    <row r="4">
      <c r="A4" s="1"/>
      <c r="B4" s="2"/>
      <c r="C4" s="8"/>
      <c r="D4" s="8"/>
      <c r="E4" s="3"/>
      <c r="F4" s="3"/>
    </row>
    <row r="5">
      <c r="C5" s="9" t="s">
        <v>4</v>
      </c>
      <c r="D5" s="10" t="s">
        <v>5</v>
      </c>
      <c r="E5" s="10" t="s">
        <v>6</v>
      </c>
      <c r="F5" s="11" t="s">
        <v>7</v>
      </c>
    </row>
    <row r="6">
      <c r="A6" s="12" t="s">
        <v>8</v>
      </c>
      <c r="B6" s="13"/>
      <c r="C6" s="14">
        <v>1.0</v>
      </c>
      <c r="D6" s="15"/>
      <c r="E6" s="15"/>
      <c r="F6" s="16">
        <f>IF(SUM(F7:F30)&gt;0,1,0)</f>
        <v>1</v>
      </c>
    </row>
    <row r="7">
      <c r="A7" s="17"/>
      <c r="B7" s="18" t="s">
        <v>9</v>
      </c>
      <c r="C7" s="19">
        <f t="shared" ref="C7:C8" si="1">$C$6</f>
        <v>1</v>
      </c>
      <c r="D7" s="20">
        <v>0.0</v>
      </c>
      <c r="E7" s="21">
        <v>12000.0</v>
      </c>
      <c r="F7" s="22">
        <f t="shared" ref="F7:F30" si="2">D7*E7*C7</f>
        <v>0</v>
      </c>
    </row>
    <row r="8">
      <c r="A8" s="18"/>
      <c r="B8" s="21" t="s">
        <v>10</v>
      </c>
      <c r="C8" s="19">
        <f t="shared" si="1"/>
        <v>1</v>
      </c>
      <c r="D8" s="20">
        <v>0.0</v>
      </c>
      <c r="E8" s="21">
        <v>15000.0</v>
      </c>
      <c r="F8" s="22">
        <f t="shared" si="2"/>
        <v>0</v>
      </c>
    </row>
    <row r="9">
      <c r="A9" s="18"/>
      <c r="B9" s="18" t="s">
        <v>11</v>
      </c>
      <c r="C9" s="23">
        <v>1.0</v>
      </c>
      <c r="D9" s="20">
        <v>0.0</v>
      </c>
      <c r="E9" s="21">
        <v>30000.0</v>
      </c>
      <c r="F9" s="22">
        <f t="shared" si="2"/>
        <v>0</v>
      </c>
    </row>
    <row r="10">
      <c r="A10" s="18"/>
      <c r="B10" s="18" t="s">
        <v>12</v>
      </c>
      <c r="C10" s="19">
        <f t="shared" ref="C10:C14" si="3">$C$6</f>
        <v>1</v>
      </c>
      <c r="D10" s="20">
        <v>0.0</v>
      </c>
      <c r="E10" s="21">
        <v>35000.0</v>
      </c>
      <c r="F10" s="22">
        <f t="shared" si="2"/>
        <v>0</v>
      </c>
    </row>
    <row r="11">
      <c r="A11" s="18"/>
      <c r="B11" s="18" t="s">
        <v>13</v>
      </c>
      <c r="C11" s="19">
        <f t="shared" si="3"/>
        <v>1</v>
      </c>
      <c r="D11" s="20">
        <v>0.0</v>
      </c>
      <c r="E11" s="21">
        <v>40000.0</v>
      </c>
      <c r="F11" s="22">
        <f t="shared" si="2"/>
        <v>0</v>
      </c>
    </row>
    <row r="12">
      <c r="A12" s="18"/>
      <c r="B12" s="18" t="s">
        <v>14</v>
      </c>
      <c r="C12" s="19">
        <f t="shared" si="3"/>
        <v>1</v>
      </c>
      <c r="D12" s="20">
        <v>0.0</v>
      </c>
      <c r="E12" s="21">
        <v>50000.0</v>
      </c>
      <c r="F12" s="22">
        <f t="shared" si="2"/>
        <v>0</v>
      </c>
    </row>
    <row r="13">
      <c r="A13" s="18"/>
      <c r="B13" s="18" t="s">
        <v>15</v>
      </c>
      <c r="C13" s="19">
        <f t="shared" si="3"/>
        <v>1</v>
      </c>
      <c r="D13" s="20">
        <v>0.0</v>
      </c>
      <c r="E13" s="21">
        <v>80000.0</v>
      </c>
      <c r="F13" s="22">
        <f t="shared" si="2"/>
        <v>0</v>
      </c>
    </row>
    <row r="14">
      <c r="A14" s="21"/>
      <c r="B14" s="21" t="s">
        <v>16</v>
      </c>
      <c r="C14" s="19">
        <f t="shared" si="3"/>
        <v>1</v>
      </c>
      <c r="D14" s="20">
        <v>0.0</v>
      </c>
      <c r="E14" s="21">
        <v>1000.0</v>
      </c>
      <c r="F14" s="22">
        <f t="shared" si="2"/>
        <v>0</v>
      </c>
    </row>
    <row r="15">
      <c r="A15" s="21"/>
      <c r="B15" s="21" t="s">
        <v>17</v>
      </c>
      <c r="C15" s="23">
        <v>1.0</v>
      </c>
      <c r="D15" s="20">
        <v>0.0</v>
      </c>
      <c r="E15" s="21">
        <v>1500.0</v>
      </c>
      <c r="F15" s="22">
        <f t="shared" si="2"/>
        <v>0</v>
      </c>
    </row>
    <row r="16">
      <c r="A16" s="21"/>
      <c r="B16" s="21" t="s">
        <v>18</v>
      </c>
      <c r="C16" s="19">
        <f t="shared" ref="C16:C30" si="4">$C$6</f>
        <v>1</v>
      </c>
      <c r="D16" s="20">
        <v>0.0</v>
      </c>
      <c r="E16" s="21">
        <v>1000.0</v>
      </c>
      <c r="F16" s="22">
        <f t="shared" si="2"/>
        <v>0</v>
      </c>
    </row>
    <row r="17">
      <c r="A17" s="21"/>
      <c r="B17" s="21" t="s">
        <v>19</v>
      </c>
      <c r="C17" s="19">
        <f t="shared" si="4"/>
        <v>1</v>
      </c>
      <c r="D17" s="20">
        <v>0.0</v>
      </c>
      <c r="E17" s="21">
        <v>1200.0</v>
      </c>
      <c r="F17" s="22">
        <f t="shared" si="2"/>
        <v>0</v>
      </c>
    </row>
    <row r="18">
      <c r="A18" s="21"/>
      <c r="B18" s="21" t="s">
        <v>20</v>
      </c>
      <c r="C18" s="19">
        <f t="shared" si="4"/>
        <v>1</v>
      </c>
      <c r="D18" s="20">
        <v>0.0</v>
      </c>
      <c r="E18" s="21">
        <v>2000.0</v>
      </c>
      <c r="F18" s="22">
        <f t="shared" si="2"/>
        <v>0</v>
      </c>
    </row>
    <row r="19">
      <c r="A19" s="21"/>
      <c r="B19" s="21" t="s">
        <v>21</v>
      </c>
      <c r="C19" s="19">
        <f t="shared" si="4"/>
        <v>1</v>
      </c>
      <c r="D19" s="20">
        <v>0.0</v>
      </c>
      <c r="E19" s="21">
        <v>5000.0</v>
      </c>
      <c r="F19" s="22">
        <f t="shared" si="2"/>
        <v>0</v>
      </c>
    </row>
    <row r="20">
      <c r="A20" s="21"/>
      <c r="B20" s="21" t="s">
        <v>22</v>
      </c>
      <c r="C20" s="19">
        <f t="shared" si="4"/>
        <v>1</v>
      </c>
      <c r="D20" s="20">
        <v>35.0</v>
      </c>
      <c r="E20" s="21">
        <v>350.0</v>
      </c>
      <c r="F20" s="22">
        <f t="shared" si="2"/>
        <v>12250</v>
      </c>
    </row>
    <row r="21" ht="15.75" customHeight="1">
      <c r="A21" s="21"/>
      <c r="B21" s="21" t="s">
        <v>23</v>
      </c>
      <c r="C21" s="19">
        <f t="shared" si="4"/>
        <v>1</v>
      </c>
      <c r="D21" s="20">
        <v>0.0</v>
      </c>
      <c r="E21" s="21">
        <v>14000.0</v>
      </c>
      <c r="F21" s="22">
        <f t="shared" si="2"/>
        <v>0</v>
      </c>
    </row>
    <row r="22" ht="15.75" customHeight="1">
      <c r="A22" s="21"/>
      <c r="B22" s="21" t="s">
        <v>24</v>
      </c>
      <c r="C22" s="19">
        <f t="shared" si="4"/>
        <v>1</v>
      </c>
      <c r="D22" s="20">
        <v>0.0</v>
      </c>
      <c r="E22" s="21">
        <v>750.0</v>
      </c>
      <c r="F22" s="22">
        <f t="shared" si="2"/>
        <v>0</v>
      </c>
    </row>
    <row r="23" ht="15.75" customHeight="1">
      <c r="A23" s="21"/>
      <c r="B23" s="21" t="s">
        <v>25</v>
      </c>
      <c r="C23" s="19">
        <f t="shared" si="4"/>
        <v>1</v>
      </c>
      <c r="D23" s="20">
        <v>0.0</v>
      </c>
      <c r="E23" s="21"/>
      <c r="F23" s="22">
        <f t="shared" si="2"/>
        <v>0</v>
      </c>
    </row>
    <row r="24" ht="15.75" customHeight="1">
      <c r="A24" s="21"/>
      <c r="B24" s="21" t="s">
        <v>26</v>
      </c>
      <c r="C24" s="19">
        <f t="shared" si="4"/>
        <v>1</v>
      </c>
      <c r="D24" s="20">
        <v>0.0</v>
      </c>
      <c r="E24" s="21">
        <v>50.0</v>
      </c>
      <c r="F24" s="22">
        <f t="shared" si="2"/>
        <v>0</v>
      </c>
    </row>
    <row r="25" ht="15.75" customHeight="1">
      <c r="A25" s="21"/>
      <c r="B25" s="21" t="s">
        <v>27</v>
      </c>
      <c r="C25" s="19">
        <f t="shared" si="4"/>
        <v>1</v>
      </c>
      <c r="D25" s="20">
        <v>0.0</v>
      </c>
      <c r="E25" s="21">
        <v>5000.0</v>
      </c>
      <c r="F25" s="22">
        <f t="shared" si="2"/>
        <v>0</v>
      </c>
    </row>
    <row r="26" ht="15.75" customHeight="1">
      <c r="A26" s="21"/>
      <c r="B26" s="21" t="s">
        <v>28</v>
      </c>
      <c r="C26" s="19">
        <f t="shared" si="4"/>
        <v>1</v>
      </c>
      <c r="D26" s="20">
        <v>0.0</v>
      </c>
      <c r="E26" s="21">
        <v>3000.0</v>
      </c>
      <c r="F26" s="22">
        <f t="shared" si="2"/>
        <v>0</v>
      </c>
    </row>
    <row r="27" ht="15.75" customHeight="1">
      <c r="A27" s="21"/>
      <c r="B27" s="20" t="s">
        <v>29</v>
      </c>
      <c r="C27" s="19">
        <f t="shared" si="4"/>
        <v>1</v>
      </c>
      <c r="D27" s="20">
        <v>4.0</v>
      </c>
      <c r="E27" s="20">
        <v>1000.0</v>
      </c>
      <c r="F27" s="22">
        <f t="shared" si="2"/>
        <v>4000</v>
      </c>
    </row>
    <row r="28" ht="15.75" customHeight="1">
      <c r="A28" s="21"/>
      <c r="B28" s="21" t="s">
        <v>30</v>
      </c>
      <c r="C28" s="19">
        <f t="shared" si="4"/>
        <v>1</v>
      </c>
      <c r="D28" s="20">
        <v>0.0</v>
      </c>
      <c r="E28" s="21">
        <v>200.0</v>
      </c>
      <c r="F28" s="22">
        <f t="shared" si="2"/>
        <v>0</v>
      </c>
    </row>
    <row r="29" ht="15.75" customHeight="1">
      <c r="A29" s="21"/>
      <c r="B29" s="21" t="s">
        <v>31</v>
      </c>
      <c r="C29" s="19">
        <f t="shared" si="4"/>
        <v>1</v>
      </c>
      <c r="D29" s="20">
        <v>0.0</v>
      </c>
      <c r="E29" s="21">
        <v>500.0</v>
      </c>
      <c r="F29" s="22">
        <f t="shared" si="2"/>
        <v>0</v>
      </c>
    </row>
    <row r="30" ht="15.75" customHeight="1">
      <c r="A30" s="21"/>
      <c r="B30" s="21" t="s">
        <v>26</v>
      </c>
      <c r="C30" s="19">
        <f t="shared" si="4"/>
        <v>1</v>
      </c>
      <c r="D30" s="20">
        <v>0.0</v>
      </c>
      <c r="E30" s="21">
        <v>50.0</v>
      </c>
      <c r="F30" s="22">
        <f t="shared" si="2"/>
        <v>0</v>
      </c>
    </row>
    <row r="31" ht="15.75" customHeight="1">
      <c r="A31" s="21"/>
      <c r="B31" s="21"/>
      <c r="C31" s="19"/>
      <c r="D31" s="21"/>
      <c r="E31" s="21"/>
      <c r="F31" s="22"/>
    </row>
    <row r="32" ht="15.75" customHeight="1">
      <c r="A32" s="12" t="s">
        <v>32</v>
      </c>
      <c r="B32" s="13"/>
      <c r="C32" s="24"/>
      <c r="D32" s="25"/>
      <c r="E32" s="25"/>
      <c r="F32" s="26">
        <f>IF(SUM(F34:F87)&gt;0,1,0)</f>
        <v>1</v>
      </c>
    </row>
    <row r="33" ht="15.75" customHeight="1">
      <c r="A33" s="21"/>
      <c r="B33" s="27" t="s">
        <v>33</v>
      </c>
      <c r="C33" s="19"/>
      <c r="D33" s="21"/>
      <c r="E33" s="21"/>
      <c r="F33" s="28">
        <f>IF(SUM(F34:F44)&gt;0,1,0)</f>
        <v>1</v>
      </c>
    </row>
    <row r="34" ht="15.75" customHeight="1">
      <c r="A34" s="21"/>
      <c r="B34" s="21" t="s">
        <v>34</v>
      </c>
      <c r="C34" s="19">
        <f t="shared" ref="C34:C41" si="5">$C$6</f>
        <v>1</v>
      </c>
      <c r="D34" s="29">
        <v>0.0</v>
      </c>
      <c r="E34" s="21">
        <v>1500.0</v>
      </c>
      <c r="F34" s="22">
        <f t="shared" ref="F34:F44" si="6">C34*D34*E34</f>
        <v>0</v>
      </c>
    </row>
    <row r="35" ht="15.75" customHeight="1">
      <c r="A35" s="21"/>
      <c r="B35" s="21" t="s">
        <v>35</v>
      </c>
      <c r="C35" s="19">
        <f t="shared" si="5"/>
        <v>1</v>
      </c>
      <c r="D35" s="29">
        <v>0.0</v>
      </c>
      <c r="E35" s="21">
        <v>1500.0</v>
      </c>
      <c r="F35" s="22">
        <f t="shared" si="6"/>
        <v>0</v>
      </c>
    </row>
    <row r="36" ht="15.75" customHeight="1">
      <c r="A36" s="21"/>
      <c r="B36" s="21" t="s">
        <v>36</v>
      </c>
      <c r="C36" s="19">
        <f t="shared" si="5"/>
        <v>1</v>
      </c>
      <c r="D36" s="20">
        <v>6.0</v>
      </c>
      <c r="E36" s="21">
        <v>1500.0</v>
      </c>
      <c r="F36" s="22">
        <f t="shared" si="6"/>
        <v>9000</v>
      </c>
    </row>
    <row r="37" ht="15.75" customHeight="1">
      <c r="A37" s="21"/>
      <c r="B37" s="21" t="s">
        <v>37</v>
      </c>
      <c r="C37" s="19">
        <f t="shared" si="5"/>
        <v>1</v>
      </c>
      <c r="D37" s="20">
        <v>0.0</v>
      </c>
      <c r="E37" s="21">
        <v>2000.0</v>
      </c>
      <c r="F37" s="22">
        <f t="shared" si="6"/>
        <v>0</v>
      </c>
    </row>
    <row r="38" ht="15.75" customHeight="1">
      <c r="A38" s="21"/>
      <c r="B38" s="21" t="s">
        <v>38</v>
      </c>
      <c r="C38" s="19">
        <f t="shared" si="5"/>
        <v>1</v>
      </c>
      <c r="D38" s="29">
        <v>0.0</v>
      </c>
      <c r="E38" s="21">
        <v>1200.0</v>
      </c>
      <c r="F38" s="22">
        <f t="shared" si="6"/>
        <v>0</v>
      </c>
    </row>
    <row r="39" ht="15.75" customHeight="1">
      <c r="A39" s="21"/>
      <c r="B39" s="21" t="s">
        <v>39</v>
      </c>
      <c r="C39" s="19">
        <f t="shared" si="5"/>
        <v>1</v>
      </c>
      <c r="D39" s="20">
        <v>0.0</v>
      </c>
      <c r="E39" s="21">
        <v>1800.0</v>
      </c>
      <c r="F39" s="22">
        <f t="shared" si="6"/>
        <v>0</v>
      </c>
    </row>
    <row r="40" ht="15.75" customHeight="1">
      <c r="A40" s="21"/>
      <c r="B40" s="21" t="s">
        <v>40</v>
      </c>
      <c r="C40" s="19">
        <f t="shared" si="5"/>
        <v>1</v>
      </c>
      <c r="D40" s="20">
        <v>2.0</v>
      </c>
      <c r="E40" s="21">
        <v>800.0</v>
      </c>
      <c r="F40" s="22">
        <f t="shared" si="6"/>
        <v>1600</v>
      </c>
    </row>
    <row r="41" ht="15.75" customHeight="1">
      <c r="A41" s="21"/>
      <c r="B41" s="21" t="s">
        <v>41</v>
      </c>
      <c r="C41" s="19">
        <f t="shared" si="5"/>
        <v>1</v>
      </c>
      <c r="D41" s="29">
        <v>0.0</v>
      </c>
      <c r="E41" s="21">
        <v>700.0</v>
      </c>
      <c r="F41" s="22">
        <f t="shared" si="6"/>
        <v>0</v>
      </c>
    </row>
    <row r="42" ht="15.75" customHeight="1">
      <c r="A42" s="21"/>
      <c r="B42" s="21" t="s">
        <v>42</v>
      </c>
      <c r="C42" s="19">
        <v>1.0</v>
      </c>
      <c r="D42" s="20">
        <v>8.0</v>
      </c>
      <c r="E42" s="21">
        <v>1400.0</v>
      </c>
      <c r="F42" s="22">
        <f t="shared" si="6"/>
        <v>11200</v>
      </c>
    </row>
    <row r="43" ht="15.75" customHeight="1">
      <c r="A43" s="21"/>
      <c r="B43" s="21" t="s">
        <v>43</v>
      </c>
      <c r="C43" s="19">
        <f t="shared" ref="C43:C44" si="7">$C$6</f>
        <v>1</v>
      </c>
      <c r="D43" s="20">
        <v>0.0</v>
      </c>
      <c r="E43" s="21">
        <v>600.0</v>
      </c>
      <c r="F43" s="22">
        <f t="shared" si="6"/>
        <v>0</v>
      </c>
    </row>
    <row r="44" ht="15.75" customHeight="1">
      <c r="A44" s="21"/>
      <c r="B44" s="21" t="s">
        <v>44</v>
      </c>
      <c r="C44" s="19">
        <f t="shared" si="7"/>
        <v>1</v>
      </c>
      <c r="D44" s="20">
        <v>0.0</v>
      </c>
      <c r="E44" s="21">
        <v>500.0</v>
      </c>
      <c r="F44" s="22">
        <f t="shared" si="6"/>
        <v>0</v>
      </c>
    </row>
    <row r="45" ht="15.75" customHeight="1">
      <c r="A45" s="21"/>
      <c r="B45" s="21"/>
      <c r="C45" s="19"/>
      <c r="D45" s="21"/>
      <c r="E45" s="21"/>
      <c r="F45" s="22"/>
    </row>
    <row r="46" ht="15.75" customHeight="1">
      <c r="A46" s="21"/>
      <c r="B46" s="27" t="s">
        <v>45</v>
      </c>
      <c r="C46" s="19"/>
      <c r="D46" s="21"/>
      <c r="E46" s="21"/>
      <c r="F46" s="28">
        <f>IF(SUM(F48:F56)&gt;0,1,0)</f>
        <v>1</v>
      </c>
    </row>
    <row r="47" ht="15.75" customHeight="1">
      <c r="A47" s="21"/>
      <c r="B47" s="21" t="s">
        <v>46</v>
      </c>
      <c r="C47" s="19">
        <f t="shared" ref="C47:C49" si="8">$C$6</f>
        <v>1</v>
      </c>
      <c r="D47" s="20">
        <v>0.0</v>
      </c>
      <c r="E47" s="21">
        <v>1000.0</v>
      </c>
      <c r="F47" s="22">
        <f t="shared" ref="F47:F49" si="9">D47*E47*C47</f>
        <v>0</v>
      </c>
    </row>
    <row r="48" ht="15.75" customHeight="1">
      <c r="A48" s="21"/>
      <c r="B48" s="21" t="s">
        <v>47</v>
      </c>
      <c r="C48" s="19">
        <f t="shared" si="8"/>
        <v>1</v>
      </c>
      <c r="D48" s="20">
        <v>1.0</v>
      </c>
      <c r="E48" s="21">
        <v>1600.0</v>
      </c>
      <c r="F48" s="22">
        <f t="shared" si="9"/>
        <v>1600</v>
      </c>
    </row>
    <row r="49" ht="15.75" customHeight="1">
      <c r="A49" s="21"/>
      <c r="B49" s="21" t="s">
        <v>48</v>
      </c>
      <c r="C49" s="19">
        <f t="shared" si="8"/>
        <v>1</v>
      </c>
      <c r="D49" s="20">
        <v>1.0</v>
      </c>
      <c r="E49" s="21">
        <v>2600.0</v>
      </c>
      <c r="F49" s="22">
        <f t="shared" si="9"/>
        <v>2600</v>
      </c>
    </row>
    <row r="50" ht="15.75" customHeight="1">
      <c r="A50" s="21"/>
      <c r="B50" s="27" t="s">
        <v>49</v>
      </c>
      <c r="C50" s="19"/>
      <c r="D50" s="21"/>
      <c r="E50" s="21"/>
      <c r="F50" s="28">
        <f>IF(SUM(F51:F56)&gt;0,1,0)</f>
        <v>1</v>
      </c>
    </row>
    <row r="51" ht="15.75" customHeight="1">
      <c r="A51" s="21"/>
      <c r="B51" s="21" t="s">
        <v>50</v>
      </c>
      <c r="C51" s="19">
        <f>$C$6</f>
        <v>1</v>
      </c>
      <c r="D51" s="29">
        <v>0.0</v>
      </c>
      <c r="E51" s="21">
        <v>400.0</v>
      </c>
      <c r="F51" s="22">
        <f t="shared" ref="F51:F56" si="10">D51*E51*C51</f>
        <v>0</v>
      </c>
    </row>
    <row r="52" ht="15.75" customHeight="1">
      <c r="A52" s="21"/>
      <c r="B52" s="21" t="s">
        <v>51</v>
      </c>
      <c r="C52" s="19">
        <v>1.0</v>
      </c>
      <c r="D52" s="20">
        <v>2.0</v>
      </c>
      <c r="E52" s="21">
        <v>400.0</v>
      </c>
      <c r="F52" s="22">
        <f t="shared" si="10"/>
        <v>800</v>
      </c>
    </row>
    <row r="53" ht="15.75" customHeight="1">
      <c r="A53" s="21"/>
      <c r="B53" s="21" t="s">
        <v>52</v>
      </c>
      <c r="C53" s="19">
        <f t="shared" ref="C53:C56" si="11">$C$6</f>
        <v>1</v>
      </c>
      <c r="D53" s="20">
        <v>0.0</v>
      </c>
      <c r="E53" s="21">
        <v>500.0</v>
      </c>
      <c r="F53" s="22">
        <f t="shared" si="10"/>
        <v>0</v>
      </c>
    </row>
    <row r="54" ht="15.75" customHeight="1">
      <c r="A54" s="21"/>
      <c r="B54" s="21" t="s">
        <v>53</v>
      </c>
      <c r="C54" s="19">
        <f t="shared" si="11"/>
        <v>1</v>
      </c>
      <c r="D54" s="20">
        <v>1.0</v>
      </c>
      <c r="E54" s="21">
        <v>1000.0</v>
      </c>
      <c r="F54" s="22">
        <f t="shared" si="10"/>
        <v>1000</v>
      </c>
    </row>
    <row r="55" ht="15.75" customHeight="1">
      <c r="A55" s="21"/>
      <c r="B55" s="21" t="s">
        <v>54</v>
      </c>
      <c r="C55" s="19">
        <f t="shared" si="11"/>
        <v>1</v>
      </c>
      <c r="D55" s="20">
        <v>0.0</v>
      </c>
      <c r="E55" s="21">
        <v>1500.0</v>
      </c>
      <c r="F55" s="22">
        <f t="shared" si="10"/>
        <v>0</v>
      </c>
    </row>
    <row r="56" ht="15.75" customHeight="1">
      <c r="A56" s="21"/>
      <c r="B56" s="21" t="s">
        <v>55</v>
      </c>
      <c r="C56" s="19">
        <f t="shared" si="11"/>
        <v>1</v>
      </c>
      <c r="D56" s="29">
        <v>0.0</v>
      </c>
      <c r="E56" s="21">
        <v>2000.0</v>
      </c>
      <c r="F56" s="22">
        <f t="shared" si="10"/>
        <v>0</v>
      </c>
    </row>
    <row r="57" ht="15.75" customHeight="1">
      <c r="A57" s="21"/>
      <c r="B57" s="21"/>
      <c r="C57" s="19"/>
      <c r="D57" s="21"/>
      <c r="E57" s="21"/>
      <c r="F57" s="22"/>
    </row>
    <row r="58" ht="15.75" customHeight="1">
      <c r="A58" s="21"/>
      <c r="B58" s="27" t="s">
        <v>56</v>
      </c>
      <c r="C58" s="19"/>
      <c r="D58" s="21"/>
      <c r="E58" s="21"/>
      <c r="F58" s="28">
        <f>IF(SUM(F59:F63)&gt;0,1,0)</f>
        <v>1</v>
      </c>
    </row>
    <row r="59" ht="15.75" customHeight="1">
      <c r="A59" s="21"/>
      <c r="B59" s="18" t="s">
        <v>57</v>
      </c>
      <c r="C59" s="19">
        <f t="shared" ref="C59:C63" si="12">$C$6</f>
        <v>1</v>
      </c>
      <c r="D59" s="29">
        <v>0.0</v>
      </c>
      <c r="E59" s="21">
        <v>1000.0</v>
      </c>
      <c r="F59" s="22">
        <f t="shared" ref="F59:F63" si="13">D59*E59*C59</f>
        <v>0</v>
      </c>
    </row>
    <row r="60" ht="15.75" customHeight="1">
      <c r="A60" s="21"/>
      <c r="B60" s="21" t="s">
        <v>58</v>
      </c>
      <c r="C60" s="19">
        <f t="shared" si="12"/>
        <v>1</v>
      </c>
      <c r="D60" s="29">
        <v>0.0</v>
      </c>
      <c r="E60" s="21">
        <v>2000.0</v>
      </c>
      <c r="F60" s="22">
        <f t="shared" si="13"/>
        <v>0</v>
      </c>
    </row>
    <row r="61" ht="15.75" customHeight="1">
      <c r="A61" s="21"/>
      <c r="B61" s="21" t="s">
        <v>59</v>
      </c>
      <c r="C61" s="19">
        <f t="shared" si="12"/>
        <v>1</v>
      </c>
      <c r="D61" s="20">
        <v>1.0</v>
      </c>
      <c r="E61" s="21">
        <v>3000.0</v>
      </c>
      <c r="F61" s="22">
        <f t="shared" si="13"/>
        <v>3000</v>
      </c>
    </row>
    <row r="62" ht="15.75" customHeight="1">
      <c r="A62" s="21"/>
      <c r="B62" s="21" t="s">
        <v>60</v>
      </c>
      <c r="C62" s="19">
        <f t="shared" si="12"/>
        <v>1</v>
      </c>
      <c r="D62" s="29">
        <v>0.0</v>
      </c>
      <c r="E62" s="21">
        <v>3500.0</v>
      </c>
      <c r="F62" s="22">
        <f t="shared" si="13"/>
        <v>0</v>
      </c>
    </row>
    <row r="63" ht="15.75" customHeight="1">
      <c r="A63" s="21"/>
      <c r="B63" s="21" t="s">
        <v>61</v>
      </c>
      <c r="C63" s="19">
        <f t="shared" si="12"/>
        <v>1</v>
      </c>
      <c r="D63" s="29">
        <v>0.0</v>
      </c>
      <c r="E63" s="21">
        <v>4000.0</v>
      </c>
      <c r="F63" s="22">
        <f t="shared" si="13"/>
        <v>0</v>
      </c>
    </row>
    <row r="64" ht="15.75" customHeight="1">
      <c r="A64" s="21"/>
      <c r="B64" s="21"/>
      <c r="C64" s="19"/>
      <c r="D64" s="21"/>
      <c r="E64" s="21"/>
      <c r="F64" s="22"/>
    </row>
    <row r="65" ht="15.75" customHeight="1">
      <c r="A65" s="21"/>
      <c r="B65" s="27" t="s">
        <v>62</v>
      </c>
      <c r="C65" s="19"/>
      <c r="D65" s="21"/>
      <c r="E65" s="21"/>
      <c r="F65" s="22">
        <f>IF(SUM(F66:F76)&gt;0,1,0)</f>
        <v>1</v>
      </c>
    </row>
    <row r="66" ht="15.75" customHeight="1">
      <c r="A66" s="21"/>
      <c r="B66" s="21" t="s">
        <v>63</v>
      </c>
      <c r="C66" s="19">
        <f t="shared" ref="C66:C74" si="14">$C$6</f>
        <v>1</v>
      </c>
      <c r="D66" s="20">
        <v>0.0</v>
      </c>
      <c r="E66" s="21">
        <v>500.0</v>
      </c>
      <c r="F66" s="22">
        <f t="shared" ref="F66:F76" si="15">D66*E66*C66</f>
        <v>0</v>
      </c>
    </row>
    <row r="67" ht="15.75" customHeight="1">
      <c r="A67" s="21"/>
      <c r="B67" s="21" t="s">
        <v>64</v>
      </c>
      <c r="C67" s="19">
        <f t="shared" si="14"/>
        <v>1</v>
      </c>
      <c r="D67" s="20">
        <v>1.0</v>
      </c>
      <c r="E67" s="21">
        <v>1000.0</v>
      </c>
      <c r="F67" s="22">
        <f t="shared" si="15"/>
        <v>1000</v>
      </c>
    </row>
    <row r="68" ht="15.75" customHeight="1">
      <c r="A68" s="21"/>
      <c r="B68" s="21" t="s">
        <v>65</v>
      </c>
      <c r="C68" s="19">
        <f t="shared" si="14"/>
        <v>1</v>
      </c>
      <c r="D68" s="20">
        <v>0.0</v>
      </c>
      <c r="E68" s="21">
        <v>1500.0</v>
      </c>
      <c r="F68" s="22">
        <f t="shared" si="15"/>
        <v>0</v>
      </c>
    </row>
    <row r="69" ht="15.75" customHeight="1">
      <c r="A69" s="21"/>
      <c r="B69" s="20" t="s">
        <v>66</v>
      </c>
      <c r="C69" s="19">
        <f t="shared" si="14"/>
        <v>1</v>
      </c>
      <c r="D69" s="29">
        <v>0.0</v>
      </c>
      <c r="E69" s="21">
        <v>2000.0</v>
      </c>
      <c r="F69" s="22">
        <f t="shared" si="15"/>
        <v>0</v>
      </c>
    </row>
    <row r="70" ht="15.75" customHeight="1">
      <c r="A70" s="21"/>
      <c r="B70" s="21" t="s">
        <v>67</v>
      </c>
      <c r="C70" s="19">
        <f t="shared" si="14"/>
        <v>1</v>
      </c>
      <c r="D70" s="20">
        <v>0.0</v>
      </c>
      <c r="E70" s="21">
        <v>200.0</v>
      </c>
      <c r="F70" s="22">
        <f t="shared" si="15"/>
        <v>0</v>
      </c>
    </row>
    <row r="71" ht="15.75" customHeight="1">
      <c r="A71" s="21"/>
      <c r="B71" s="21" t="s">
        <v>68</v>
      </c>
      <c r="C71" s="19">
        <f t="shared" si="14"/>
        <v>1</v>
      </c>
      <c r="D71" s="29">
        <v>0.0</v>
      </c>
      <c r="E71" s="21">
        <v>500.0</v>
      </c>
      <c r="F71" s="22">
        <f t="shared" si="15"/>
        <v>0</v>
      </c>
    </row>
    <row r="72" ht="15.75" customHeight="1">
      <c r="A72" s="21"/>
      <c r="B72" s="21" t="s">
        <v>69</v>
      </c>
      <c r="C72" s="19">
        <f t="shared" si="14"/>
        <v>1</v>
      </c>
      <c r="D72" s="20">
        <v>0.0</v>
      </c>
      <c r="E72" s="21">
        <v>300.0</v>
      </c>
      <c r="F72" s="22">
        <f t="shared" si="15"/>
        <v>0</v>
      </c>
    </row>
    <row r="73" ht="15.75" customHeight="1">
      <c r="A73" s="21"/>
      <c r="B73" s="21" t="s">
        <v>70</v>
      </c>
      <c r="C73" s="19">
        <f t="shared" si="14"/>
        <v>1</v>
      </c>
      <c r="D73" s="29">
        <v>0.0</v>
      </c>
      <c r="E73" s="21">
        <v>600.0</v>
      </c>
      <c r="F73" s="22">
        <f t="shared" si="15"/>
        <v>0</v>
      </c>
    </row>
    <row r="74" ht="15.75" customHeight="1">
      <c r="A74" s="21"/>
      <c r="B74" s="21" t="s">
        <v>71</v>
      </c>
      <c r="C74" s="19">
        <f t="shared" si="14"/>
        <v>1</v>
      </c>
      <c r="D74" s="20">
        <v>2.0</v>
      </c>
      <c r="E74" s="21">
        <v>1200.0</v>
      </c>
      <c r="F74" s="22">
        <f t="shared" si="15"/>
        <v>2400</v>
      </c>
    </row>
    <row r="75" ht="15.75" customHeight="1">
      <c r="A75" s="21"/>
      <c r="B75" s="21" t="s">
        <v>72</v>
      </c>
      <c r="C75" s="19">
        <v>1.0</v>
      </c>
      <c r="D75" s="20">
        <v>0.0</v>
      </c>
      <c r="E75" s="21">
        <v>600.0</v>
      </c>
      <c r="F75" s="22">
        <f t="shared" si="15"/>
        <v>0</v>
      </c>
    </row>
    <row r="76" ht="16.5" customHeight="1">
      <c r="A76" s="21"/>
      <c r="B76" s="21" t="s">
        <v>73</v>
      </c>
      <c r="C76" s="19">
        <f>$C$6</f>
        <v>1</v>
      </c>
      <c r="D76" s="29">
        <v>0.0</v>
      </c>
      <c r="E76" s="21">
        <v>400.0</v>
      </c>
      <c r="F76" s="22">
        <f t="shared" si="15"/>
        <v>0</v>
      </c>
    </row>
    <row r="77" ht="16.5" customHeight="1">
      <c r="A77" s="21"/>
      <c r="B77" s="21"/>
      <c r="C77" s="19"/>
      <c r="D77" s="21"/>
      <c r="E77" s="21"/>
      <c r="F77" s="22"/>
    </row>
    <row r="78" ht="15.75" customHeight="1">
      <c r="A78" s="21"/>
      <c r="B78" s="27" t="s">
        <v>74</v>
      </c>
      <c r="C78" s="19"/>
      <c r="D78" s="21"/>
      <c r="E78" s="21"/>
      <c r="F78" s="28">
        <f>IF(SUM(F79:F86)&gt;0,1,0)</f>
        <v>1</v>
      </c>
    </row>
    <row r="79" ht="15.75" customHeight="1">
      <c r="A79" s="21"/>
      <c r="B79" s="21" t="s">
        <v>75</v>
      </c>
      <c r="C79" s="19">
        <f t="shared" ref="C79:C81" si="16">$C$6</f>
        <v>1</v>
      </c>
      <c r="D79" s="29">
        <v>0.0</v>
      </c>
      <c r="E79" s="21">
        <v>500.0</v>
      </c>
      <c r="F79" s="22">
        <f t="shared" ref="F79:F86" si="17">D79*E79*C79</f>
        <v>0</v>
      </c>
    </row>
    <row r="80" ht="15.75" customHeight="1">
      <c r="A80" s="21"/>
      <c r="B80" s="21" t="s">
        <v>75</v>
      </c>
      <c r="C80" s="19">
        <f t="shared" si="16"/>
        <v>1</v>
      </c>
      <c r="D80" s="20">
        <v>1.0</v>
      </c>
      <c r="E80" s="21">
        <v>1000.0</v>
      </c>
      <c r="F80" s="22">
        <f t="shared" si="17"/>
        <v>1000</v>
      </c>
    </row>
    <row r="81" ht="15.75" customHeight="1">
      <c r="A81" s="21"/>
      <c r="B81" s="21" t="s">
        <v>75</v>
      </c>
      <c r="C81" s="19">
        <f t="shared" si="16"/>
        <v>1</v>
      </c>
      <c r="D81" s="29">
        <v>0.0</v>
      </c>
      <c r="E81" s="21">
        <v>1500.0</v>
      </c>
      <c r="F81" s="22">
        <f t="shared" si="17"/>
        <v>0</v>
      </c>
    </row>
    <row r="82" ht="15.75" customHeight="1">
      <c r="A82" s="21"/>
      <c r="B82" s="21" t="s">
        <v>75</v>
      </c>
      <c r="C82" s="19">
        <v>1.0</v>
      </c>
      <c r="D82" s="20">
        <v>0.0</v>
      </c>
      <c r="E82" s="21">
        <v>2000.0</v>
      </c>
      <c r="F82" s="22">
        <f t="shared" si="17"/>
        <v>0</v>
      </c>
    </row>
    <row r="83" ht="15.75" customHeight="1">
      <c r="A83" s="21"/>
      <c r="B83" s="21" t="s">
        <v>76</v>
      </c>
      <c r="C83" s="19">
        <f t="shared" ref="C83:C86" si="18">$C$6</f>
        <v>1</v>
      </c>
      <c r="D83" s="20">
        <v>0.0</v>
      </c>
      <c r="E83" s="21">
        <v>500.0</v>
      </c>
      <c r="F83" s="22">
        <f t="shared" si="17"/>
        <v>0</v>
      </c>
    </row>
    <row r="84" ht="15.75" customHeight="1">
      <c r="A84" s="21"/>
      <c r="B84" s="21" t="s">
        <v>77</v>
      </c>
      <c r="C84" s="19">
        <f t="shared" si="18"/>
        <v>1</v>
      </c>
      <c r="D84" s="20">
        <v>1.0</v>
      </c>
      <c r="E84" s="21">
        <v>1000.0</v>
      </c>
      <c r="F84" s="22">
        <f t="shared" si="17"/>
        <v>1000</v>
      </c>
    </row>
    <row r="85" ht="15.75" customHeight="1">
      <c r="A85" s="21"/>
      <c r="B85" s="21" t="s">
        <v>78</v>
      </c>
      <c r="C85" s="19">
        <f t="shared" si="18"/>
        <v>1</v>
      </c>
      <c r="D85" s="20">
        <v>0.0</v>
      </c>
      <c r="E85" s="21">
        <v>1500.0</v>
      </c>
      <c r="F85" s="22">
        <f t="shared" si="17"/>
        <v>0</v>
      </c>
    </row>
    <row r="86" ht="15.75" customHeight="1">
      <c r="A86" s="21"/>
      <c r="B86" s="21" t="s">
        <v>79</v>
      </c>
      <c r="C86" s="19">
        <f t="shared" si="18"/>
        <v>1</v>
      </c>
      <c r="D86" s="29">
        <v>0.0</v>
      </c>
      <c r="E86" s="21">
        <v>2000.0</v>
      </c>
      <c r="F86" s="22">
        <f t="shared" si="17"/>
        <v>0</v>
      </c>
    </row>
    <row r="87" ht="15.75" customHeight="1">
      <c r="A87" s="21"/>
      <c r="B87" s="21"/>
      <c r="C87" s="19"/>
      <c r="D87" s="21"/>
      <c r="E87" s="21"/>
      <c r="F87" s="22"/>
    </row>
    <row r="88" ht="15.75" customHeight="1">
      <c r="A88" s="12" t="s">
        <v>80</v>
      </c>
      <c r="B88" s="13"/>
      <c r="C88" s="24"/>
      <c r="D88" s="25"/>
      <c r="E88" s="25"/>
      <c r="F88" s="26">
        <f>IF(SUM(F90:F123)&gt;0,1,0)</f>
        <v>1</v>
      </c>
    </row>
    <row r="89" ht="15.75" customHeight="1">
      <c r="A89" s="17"/>
      <c r="B89" s="17" t="s">
        <v>81</v>
      </c>
      <c r="C89" s="19"/>
      <c r="D89" s="21"/>
      <c r="E89" s="21"/>
      <c r="F89" s="28">
        <f>IF(SUM(F90:F99)&gt;0,1,0)</f>
        <v>1</v>
      </c>
    </row>
    <row r="90" ht="15.75" customHeight="1">
      <c r="A90" s="21"/>
      <c r="B90" s="21" t="s">
        <v>82</v>
      </c>
      <c r="C90" s="19">
        <f t="shared" ref="C90:C99" si="19">$C$6</f>
        <v>1</v>
      </c>
      <c r="D90" s="20">
        <v>0.0</v>
      </c>
      <c r="E90" s="21">
        <v>500.0</v>
      </c>
      <c r="F90" s="22">
        <f t="shared" ref="F90:F99" si="20">D90*E90*C90</f>
        <v>0</v>
      </c>
    </row>
    <row r="91" ht="15.75" customHeight="1">
      <c r="A91" s="21"/>
      <c r="B91" s="21" t="s">
        <v>83</v>
      </c>
      <c r="C91" s="19">
        <f t="shared" si="19"/>
        <v>1</v>
      </c>
      <c r="D91" s="20">
        <v>0.0</v>
      </c>
      <c r="E91" s="21">
        <v>600.0</v>
      </c>
      <c r="F91" s="22">
        <f t="shared" si="20"/>
        <v>0</v>
      </c>
    </row>
    <row r="92" ht="15.75" customHeight="1">
      <c r="A92" s="21"/>
      <c r="B92" s="21" t="s">
        <v>84</v>
      </c>
      <c r="C92" s="19">
        <f t="shared" si="19"/>
        <v>1</v>
      </c>
      <c r="D92" s="20">
        <v>4.0</v>
      </c>
      <c r="E92" s="21">
        <v>500.0</v>
      </c>
      <c r="F92" s="22">
        <f t="shared" si="20"/>
        <v>2000</v>
      </c>
    </row>
    <row r="93" ht="15.75" customHeight="1">
      <c r="A93" s="21"/>
      <c r="B93" s="21" t="s">
        <v>85</v>
      </c>
      <c r="C93" s="19">
        <f t="shared" si="19"/>
        <v>1</v>
      </c>
      <c r="D93" s="20">
        <v>0.0</v>
      </c>
      <c r="E93" s="21">
        <v>200.0</v>
      </c>
      <c r="F93" s="22">
        <f t="shared" si="20"/>
        <v>0</v>
      </c>
    </row>
    <row r="94" ht="15.75" customHeight="1">
      <c r="A94" s="21"/>
      <c r="B94" s="21" t="s">
        <v>86</v>
      </c>
      <c r="C94" s="19">
        <f t="shared" si="19"/>
        <v>1</v>
      </c>
      <c r="D94" s="20">
        <v>0.0</v>
      </c>
      <c r="E94" s="21">
        <v>400.0</v>
      </c>
      <c r="F94" s="22">
        <f t="shared" si="20"/>
        <v>0</v>
      </c>
    </row>
    <row r="95" ht="15.75" customHeight="1">
      <c r="A95" s="21"/>
      <c r="B95" s="21" t="s">
        <v>87</v>
      </c>
      <c r="C95" s="19">
        <f t="shared" si="19"/>
        <v>1</v>
      </c>
      <c r="D95" s="20">
        <v>0.0</v>
      </c>
      <c r="E95" s="21">
        <v>200.0</v>
      </c>
      <c r="F95" s="22">
        <f t="shared" si="20"/>
        <v>0</v>
      </c>
    </row>
    <row r="96" ht="15.75" customHeight="1">
      <c r="A96" s="21"/>
      <c r="B96" s="21" t="s">
        <v>88</v>
      </c>
      <c r="C96" s="19">
        <f t="shared" si="19"/>
        <v>1</v>
      </c>
      <c r="D96" s="20">
        <v>0.0</v>
      </c>
      <c r="E96" s="21">
        <v>500.0</v>
      </c>
      <c r="F96" s="22">
        <f t="shared" si="20"/>
        <v>0</v>
      </c>
    </row>
    <row r="97" ht="15.75" customHeight="1">
      <c r="A97" s="21"/>
      <c r="B97" s="21" t="s">
        <v>89</v>
      </c>
      <c r="C97" s="19">
        <f t="shared" si="19"/>
        <v>1</v>
      </c>
      <c r="D97" s="20">
        <v>0.0</v>
      </c>
      <c r="E97" s="21">
        <v>600.0</v>
      </c>
      <c r="F97" s="22">
        <f t="shared" si="20"/>
        <v>0</v>
      </c>
    </row>
    <row r="98" ht="15.75" customHeight="1">
      <c r="A98" s="21"/>
      <c r="B98" s="21" t="s">
        <v>90</v>
      </c>
      <c r="C98" s="19">
        <f t="shared" si="19"/>
        <v>1</v>
      </c>
      <c r="D98" s="20">
        <v>0.0</v>
      </c>
      <c r="E98" s="21">
        <v>200.0</v>
      </c>
      <c r="F98" s="22">
        <f t="shared" si="20"/>
        <v>0</v>
      </c>
    </row>
    <row r="99" ht="15.75" customHeight="1">
      <c r="A99" s="21"/>
      <c r="B99" s="21" t="s">
        <v>91</v>
      </c>
      <c r="C99" s="19">
        <f t="shared" si="19"/>
        <v>1</v>
      </c>
      <c r="D99" s="20">
        <v>0.0</v>
      </c>
      <c r="E99" s="21">
        <v>1500.0</v>
      </c>
      <c r="F99" s="22">
        <f t="shared" si="20"/>
        <v>0</v>
      </c>
    </row>
    <row r="100" ht="15.75" customHeight="1">
      <c r="A100" s="21"/>
      <c r="B100" s="21"/>
      <c r="C100" s="19"/>
      <c r="D100" s="21"/>
      <c r="E100" s="21"/>
      <c r="F100" s="22"/>
    </row>
    <row r="101" ht="15.75" customHeight="1">
      <c r="A101" s="21"/>
      <c r="B101" s="27" t="s">
        <v>92</v>
      </c>
      <c r="C101" s="19"/>
      <c r="D101" s="21"/>
      <c r="E101" s="21"/>
      <c r="F101" s="28">
        <f>IF(SUM(F102:F107)&gt;0,1,0)</f>
        <v>1</v>
      </c>
    </row>
    <row r="102" ht="15.75" customHeight="1">
      <c r="A102" s="21"/>
      <c r="B102" s="21" t="s">
        <v>93</v>
      </c>
      <c r="C102" s="19">
        <f t="shared" ref="C102:C107" si="21">$C$6</f>
        <v>1</v>
      </c>
      <c r="D102" s="29">
        <v>0.0</v>
      </c>
      <c r="E102" s="21">
        <v>600.0</v>
      </c>
      <c r="F102" s="22">
        <f t="shared" ref="F102:F107" si="22">D102*E102*C102</f>
        <v>0</v>
      </c>
    </row>
    <row r="103" ht="15.75" customHeight="1">
      <c r="A103" s="21"/>
      <c r="B103" s="20" t="s">
        <v>94</v>
      </c>
      <c r="C103" s="19">
        <f t="shared" si="21"/>
        <v>1</v>
      </c>
      <c r="D103" s="20">
        <v>8.0</v>
      </c>
      <c r="E103" s="21">
        <v>600.0</v>
      </c>
      <c r="F103" s="22">
        <f t="shared" si="22"/>
        <v>4800</v>
      </c>
    </row>
    <row r="104" ht="15.75" customHeight="1">
      <c r="A104" s="21"/>
      <c r="B104" s="21" t="s">
        <v>95</v>
      </c>
      <c r="C104" s="19">
        <f t="shared" si="21"/>
        <v>1</v>
      </c>
      <c r="D104" s="29">
        <v>0.0</v>
      </c>
      <c r="E104" s="21">
        <v>900.0</v>
      </c>
      <c r="F104" s="22">
        <f t="shared" si="22"/>
        <v>0</v>
      </c>
    </row>
    <row r="105" ht="15.75" customHeight="1">
      <c r="A105" s="21"/>
      <c r="B105" s="21" t="s">
        <v>96</v>
      </c>
      <c r="C105" s="19">
        <f t="shared" si="21"/>
        <v>1</v>
      </c>
      <c r="D105" s="29">
        <v>0.0</v>
      </c>
      <c r="E105" s="21">
        <v>1500.0</v>
      </c>
      <c r="F105" s="22">
        <f t="shared" si="22"/>
        <v>0</v>
      </c>
    </row>
    <row r="106" ht="15.75" customHeight="1">
      <c r="A106" s="21"/>
      <c r="B106" s="21" t="s">
        <v>97</v>
      </c>
      <c r="C106" s="19">
        <f t="shared" si="21"/>
        <v>1</v>
      </c>
      <c r="D106" s="20">
        <v>8.0</v>
      </c>
      <c r="E106" s="20">
        <v>900.0</v>
      </c>
      <c r="F106" s="22">
        <f t="shared" si="22"/>
        <v>7200</v>
      </c>
    </row>
    <row r="107" ht="15.75" customHeight="1">
      <c r="A107" s="21"/>
      <c r="B107" s="20" t="s">
        <v>98</v>
      </c>
      <c r="C107" s="19">
        <f t="shared" si="21"/>
        <v>1</v>
      </c>
      <c r="D107" s="20">
        <v>12.0</v>
      </c>
      <c r="E107" s="20">
        <v>500.0</v>
      </c>
      <c r="F107" s="22">
        <f t="shared" si="22"/>
        <v>6000</v>
      </c>
    </row>
    <row r="108" ht="15.75" customHeight="1">
      <c r="A108" s="21"/>
      <c r="B108" s="21"/>
      <c r="C108" s="19"/>
      <c r="D108" s="21"/>
      <c r="E108" s="21"/>
      <c r="F108" s="22"/>
    </row>
    <row r="109" ht="15.75" customHeight="1">
      <c r="A109" s="21"/>
      <c r="B109" s="27" t="s">
        <v>99</v>
      </c>
      <c r="C109" s="19"/>
      <c r="D109" s="21"/>
      <c r="E109" s="21"/>
      <c r="F109" s="28">
        <f>IF(SUM(F110:F123)&gt;0,1,0)</f>
        <v>1</v>
      </c>
    </row>
    <row r="110" ht="15.75" customHeight="1">
      <c r="A110" s="21"/>
      <c r="B110" s="21" t="s">
        <v>100</v>
      </c>
      <c r="C110" s="19">
        <f t="shared" ref="C110:C119" si="23">$C$6</f>
        <v>1</v>
      </c>
      <c r="D110" s="20">
        <v>1.0</v>
      </c>
      <c r="E110" s="21">
        <v>500.0</v>
      </c>
      <c r="F110" s="22">
        <f t="shared" ref="F110:F123" si="24">D110*E110*C110</f>
        <v>500</v>
      </c>
    </row>
    <row r="111" ht="15.75" customHeight="1">
      <c r="A111" s="21"/>
      <c r="B111" s="21" t="s">
        <v>101</v>
      </c>
      <c r="C111" s="19">
        <f t="shared" si="23"/>
        <v>1</v>
      </c>
      <c r="D111" s="29">
        <v>0.0</v>
      </c>
      <c r="E111" s="21">
        <v>1000.0</v>
      </c>
      <c r="F111" s="22">
        <f t="shared" si="24"/>
        <v>0</v>
      </c>
    </row>
    <row r="112" ht="15.75" customHeight="1">
      <c r="A112" s="21"/>
      <c r="B112" s="21" t="s">
        <v>102</v>
      </c>
      <c r="C112" s="19">
        <f t="shared" si="23"/>
        <v>1</v>
      </c>
      <c r="D112" s="29">
        <v>0.0</v>
      </c>
      <c r="E112" s="21">
        <v>3000.0</v>
      </c>
      <c r="F112" s="22">
        <f t="shared" si="24"/>
        <v>0</v>
      </c>
    </row>
    <row r="113" ht="15.75" customHeight="1">
      <c r="A113" s="21"/>
      <c r="B113" s="21" t="s">
        <v>103</v>
      </c>
      <c r="C113" s="19">
        <f t="shared" si="23"/>
        <v>1</v>
      </c>
      <c r="D113" s="29">
        <v>0.0</v>
      </c>
      <c r="E113" s="21">
        <v>1000.0</v>
      </c>
      <c r="F113" s="22">
        <f t="shared" si="24"/>
        <v>0</v>
      </c>
    </row>
    <row r="114" ht="15.75" customHeight="1">
      <c r="A114" s="21"/>
      <c r="B114" s="21" t="s">
        <v>104</v>
      </c>
      <c r="C114" s="19">
        <f t="shared" si="23"/>
        <v>1</v>
      </c>
      <c r="D114" s="29">
        <v>0.0</v>
      </c>
      <c r="E114" s="21">
        <v>2000.0</v>
      </c>
      <c r="F114" s="22">
        <f t="shared" si="24"/>
        <v>0</v>
      </c>
    </row>
    <row r="115" ht="15.75" customHeight="1">
      <c r="A115" s="21"/>
      <c r="B115" s="21" t="s">
        <v>105</v>
      </c>
      <c r="C115" s="19">
        <f t="shared" si="23"/>
        <v>1</v>
      </c>
      <c r="D115" s="20">
        <v>1.0</v>
      </c>
      <c r="E115" s="21">
        <v>3000.0</v>
      </c>
      <c r="F115" s="22">
        <f t="shared" si="24"/>
        <v>3000</v>
      </c>
    </row>
    <row r="116" ht="15.75" customHeight="1">
      <c r="A116" s="21"/>
      <c r="B116" s="21" t="s">
        <v>106</v>
      </c>
      <c r="C116" s="19">
        <f t="shared" si="23"/>
        <v>1</v>
      </c>
      <c r="D116" s="29">
        <v>0.0</v>
      </c>
      <c r="E116" s="21">
        <v>2000.0</v>
      </c>
      <c r="F116" s="22">
        <f t="shared" si="24"/>
        <v>0</v>
      </c>
    </row>
    <row r="117" ht="15.75" customHeight="1">
      <c r="A117" s="21"/>
      <c r="B117" s="21" t="s">
        <v>107</v>
      </c>
      <c r="C117" s="19">
        <f t="shared" si="23"/>
        <v>1</v>
      </c>
      <c r="D117" s="20">
        <v>2.0</v>
      </c>
      <c r="E117" s="21">
        <v>1200.0</v>
      </c>
      <c r="F117" s="22">
        <f t="shared" si="24"/>
        <v>2400</v>
      </c>
    </row>
    <row r="118" ht="15.75" customHeight="1">
      <c r="A118" s="21"/>
      <c r="B118" s="21" t="s">
        <v>75</v>
      </c>
      <c r="C118" s="19">
        <f t="shared" si="23"/>
        <v>1</v>
      </c>
      <c r="D118" s="29">
        <v>0.0</v>
      </c>
      <c r="E118" s="21">
        <v>1000.0</v>
      </c>
      <c r="F118" s="22">
        <f t="shared" si="24"/>
        <v>0</v>
      </c>
    </row>
    <row r="119" ht="15.75" customHeight="1">
      <c r="A119" s="21"/>
      <c r="B119" s="21" t="s">
        <v>75</v>
      </c>
      <c r="C119" s="19">
        <f t="shared" si="23"/>
        <v>1</v>
      </c>
      <c r="D119" s="20">
        <v>1.0</v>
      </c>
      <c r="E119" s="21">
        <v>1500.0</v>
      </c>
      <c r="F119" s="22">
        <f t="shared" si="24"/>
        <v>1500</v>
      </c>
    </row>
    <row r="120" ht="15.75" customHeight="1">
      <c r="A120" s="21"/>
      <c r="B120" s="21" t="s">
        <v>75</v>
      </c>
      <c r="C120" s="19">
        <v>1.0</v>
      </c>
      <c r="D120" s="29">
        <v>0.0</v>
      </c>
      <c r="E120" s="21">
        <v>2000.0</v>
      </c>
      <c r="F120" s="22">
        <f t="shared" si="24"/>
        <v>0</v>
      </c>
    </row>
    <row r="121" ht="15.75" customHeight="1">
      <c r="A121" s="21"/>
      <c r="B121" s="21" t="s">
        <v>108</v>
      </c>
      <c r="C121" s="19">
        <f>$C$6</f>
        <v>1</v>
      </c>
      <c r="D121" s="20">
        <v>1.0</v>
      </c>
      <c r="E121" s="21">
        <v>1000.0</v>
      </c>
      <c r="F121" s="22">
        <f t="shared" si="24"/>
        <v>1000</v>
      </c>
    </row>
    <row r="122" ht="15.75" customHeight="1">
      <c r="A122" s="21"/>
      <c r="B122" s="21" t="s">
        <v>109</v>
      </c>
      <c r="C122" s="19">
        <v>1.0</v>
      </c>
      <c r="D122" s="29">
        <v>0.0</v>
      </c>
      <c r="E122" s="21">
        <v>1500.0</v>
      </c>
      <c r="F122" s="22">
        <f t="shared" si="24"/>
        <v>0</v>
      </c>
    </row>
    <row r="123" ht="15.75" customHeight="1">
      <c r="A123" s="21"/>
      <c r="B123" s="21" t="s">
        <v>109</v>
      </c>
      <c r="C123" s="19">
        <f>$C$6</f>
        <v>1</v>
      </c>
      <c r="D123" s="29">
        <v>0.0</v>
      </c>
      <c r="E123" s="21">
        <v>2000.0</v>
      </c>
      <c r="F123" s="22">
        <f t="shared" si="24"/>
        <v>0</v>
      </c>
    </row>
    <row r="124" ht="15.75" customHeight="1">
      <c r="A124" s="21"/>
      <c r="B124" s="21"/>
      <c r="C124" s="19"/>
      <c r="D124" s="21"/>
      <c r="E124" s="21"/>
      <c r="F124" s="22"/>
    </row>
    <row r="125" ht="15.75" customHeight="1">
      <c r="A125" s="12" t="s">
        <v>110</v>
      </c>
      <c r="B125" s="13"/>
      <c r="C125" s="24"/>
      <c r="D125" s="25"/>
      <c r="E125" s="25"/>
      <c r="F125" s="26">
        <f>IF(SUM(F127:F136)&gt;0,1,0)</f>
        <v>1</v>
      </c>
    </row>
    <row r="126" ht="15.75" customHeight="1">
      <c r="A126" s="17"/>
      <c r="B126" s="17"/>
      <c r="C126" s="19"/>
      <c r="D126" s="21"/>
      <c r="E126" s="21"/>
      <c r="F126" s="22"/>
    </row>
    <row r="127" ht="15.75" customHeight="1">
      <c r="A127" s="21"/>
      <c r="B127" s="21" t="s">
        <v>111</v>
      </c>
      <c r="C127" s="19">
        <f t="shared" ref="C127:C136" si="25">$C$6</f>
        <v>1</v>
      </c>
      <c r="D127" s="20">
        <v>10.0</v>
      </c>
      <c r="E127" s="21">
        <v>2500.0</v>
      </c>
      <c r="F127" s="22">
        <f t="shared" ref="F127:F134" si="26">D127*E127*C127</f>
        <v>25000</v>
      </c>
    </row>
    <row r="128" ht="15.75" customHeight="1">
      <c r="A128" s="21"/>
      <c r="B128" s="21" t="s">
        <v>112</v>
      </c>
      <c r="C128" s="19">
        <f t="shared" si="25"/>
        <v>1</v>
      </c>
      <c r="D128" s="29">
        <v>0.0</v>
      </c>
      <c r="E128" s="21">
        <v>1500.0</v>
      </c>
      <c r="F128" s="22">
        <f t="shared" si="26"/>
        <v>0</v>
      </c>
    </row>
    <row r="129" ht="15.75" customHeight="1">
      <c r="A129" s="21"/>
      <c r="B129" s="21" t="s">
        <v>113</v>
      </c>
      <c r="C129" s="19">
        <f t="shared" si="25"/>
        <v>1</v>
      </c>
      <c r="D129" s="29">
        <v>0.0</v>
      </c>
      <c r="E129" s="21">
        <v>2800.0</v>
      </c>
      <c r="F129" s="22">
        <f t="shared" si="26"/>
        <v>0</v>
      </c>
    </row>
    <row r="130" ht="15.75" customHeight="1">
      <c r="A130" s="21"/>
      <c r="B130" s="21" t="s">
        <v>114</v>
      </c>
      <c r="C130" s="19">
        <f t="shared" si="25"/>
        <v>1</v>
      </c>
      <c r="D130" s="20">
        <v>1.0</v>
      </c>
      <c r="E130" s="21">
        <v>1500.0</v>
      </c>
      <c r="F130" s="22">
        <f t="shared" si="26"/>
        <v>1500</v>
      </c>
    </row>
    <row r="131" ht="15.75" customHeight="1">
      <c r="A131" s="21"/>
      <c r="B131" s="21" t="s">
        <v>115</v>
      </c>
      <c r="C131" s="19">
        <f t="shared" si="25"/>
        <v>1</v>
      </c>
      <c r="D131" s="20">
        <v>1.0</v>
      </c>
      <c r="E131" s="21">
        <v>2000.0</v>
      </c>
      <c r="F131" s="22">
        <f t="shared" si="26"/>
        <v>2000</v>
      </c>
    </row>
    <row r="132" ht="15.75" customHeight="1">
      <c r="A132" s="21"/>
      <c r="B132" s="21" t="s">
        <v>116</v>
      </c>
      <c r="C132" s="19">
        <f t="shared" si="25"/>
        <v>1</v>
      </c>
      <c r="D132" s="20">
        <v>1.0</v>
      </c>
      <c r="E132" s="21">
        <v>1500.0</v>
      </c>
      <c r="F132" s="22">
        <f t="shared" si="26"/>
        <v>1500</v>
      </c>
    </row>
    <row r="133" ht="15.75" customHeight="1">
      <c r="A133" s="21"/>
      <c r="B133" s="21" t="s">
        <v>117</v>
      </c>
      <c r="C133" s="19">
        <f t="shared" si="25"/>
        <v>1</v>
      </c>
      <c r="D133" s="29">
        <v>0.0</v>
      </c>
      <c r="E133" s="21">
        <v>1200.0</v>
      </c>
      <c r="F133" s="22">
        <f t="shared" si="26"/>
        <v>0</v>
      </c>
    </row>
    <row r="134" ht="67.5" customHeight="1">
      <c r="A134" s="21"/>
      <c r="B134" s="30" t="s">
        <v>118</v>
      </c>
      <c r="C134" s="19">
        <f t="shared" si="25"/>
        <v>1</v>
      </c>
      <c r="D134" s="20">
        <v>0.0</v>
      </c>
      <c r="E134" s="21">
        <v>10000.0</v>
      </c>
      <c r="F134" s="22">
        <f t="shared" si="26"/>
        <v>0</v>
      </c>
    </row>
    <row r="135" ht="90.75" customHeight="1">
      <c r="A135" s="21"/>
      <c r="B135" s="31" t="s">
        <v>119</v>
      </c>
      <c r="C135" s="19">
        <f t="shared" si="25"/>
        <v>1</v>
      </c>
      <c r="D135" s="20">
        <v>0.0</v>
      </c>
      <c r="E135" s="21">
        <v>15000.0</v>
      </c>
      <c r="F135" s="22">
        <v>0.0</v>
      </c>
    </row>
    <row r="136" ht="15.75" customHeight="1">
      <c r="A136" s="21"/>
      <c r="B136" s="31" t="s">
        <v>120</v>
      </c>
      <c r="C136" s="19">
        <f t="shared" si="25"/>
        <v>1</v>
      </c>
      <c r="D136" s="20">
        <v>0.0</v>
      </c>
      <c r="E136" s="21">
        <v>25000.0</v>
      </c>
      <c r="F136" s="22">
        <v>0.0</v>
      </c>
    </row>
    <row r="137" ht="15.75" customHeight="1">
      <c r="A137" s="21"/>
      <c r="B137" s="21"/>
      <c r="C137" s="19"/>
      <c r="D137" s="21"/>
      <c r="E137" s="21"/>
      <c r="F137" s="22"/>
    </row>
    <row r="138" ht="15.75" customHeight="1">
      <c r="A138" s="12" t="s">
        <v>121</v>
      </c>
      <c r="B138" s="13"/>
      <c r="C138" s="24"/>
      <c r="D138" s="25"/>
      <c r="E138" s="25"/>
      <c r="F138" s="26">
        <f>IF(SUM(F140:F150)&gt;0,1,0)</f>
        <v>1</v>
      </c>
    </row>
    <row r="139" ht="15.75" customHeight="1">
      <c r="A139" s="21"/>
      <c r="B139" s="21"/>
      <c r="C139" s="19"/>
      <c r="D139" s="21"/>
      <c r="E139" s="21"/>
      <c r="F139" s="22"/>
    </row>
    <row r="140" ht="15.75" customHeight="1">
      <c r="A140" s="21"/>
      <c r="B140" s="21" t="s">
        <v>122</v>
      </c>
      <c r="C140" s="19">
        <f t="shared" ref="C140:C150" si="27">$C$6</f>
        <v>1</v>
      </c>
      <c r="D140" s="29">
        <v>0.0</v>
      </c>
      <c r="E140" s="21">
        <v>8000.0</v>
      </c>
      <c r="F140" s="22">
        <f t="shared" ref="F140:F150" si="28">D140*E140*C140</f>
        <v>0</v>
      </c>
    </row>
    <row r="141" ht="15.75" customHeight="1">
      <c r="A141" s="21"/>
      <c r="B141" s="21" t="s">
        <v>123</v>
      </c>
      <c r="C141" s="19">
        <f t="shared" si="27"/>
        <v>1</v>
      </c>
      <c r="D141" s="29">
        <v>0.0</v>
      </c>
      <c r="E141" s="21">
        <v>6500.0</v>
      </c>
      <c r="F141" s="22">
        <f t="shared" si="28"/>
        <v>0</v>
      </c>
    </row>
    <row r="142" ht="15.75" customHeight="1">
      <c r="A142" s="21"/>
      <c r="B142" s="21" t="s">
        <v>124</v>
      </c>
      <c r="C142" s="19">
        <f t="shared" si="27"/>
        <v>1</v>
      </c>
      <c r="D142" s="29">
        <v>0.0</v>
      </c>
      <c r="E142" s="21">
        <v>270.0</v>
      </c>
      <c r="F142" s="22">
        <f t="shared" si="28"/>
        <v>0</v>
      </c>
    </row>
    <row r="143" ht="15.75" customHeight="1">
      <c r="A143" s="21"/>
      <c r="B143" s="21" t="s">
        <v>125</v>
      </c>
      <c r="C143" s="19">
        <f t="shared" si="27"/>
        <v>1</v>
      </c>
      <c r="D143" s="29">
        <v>0.0</v>
      </c>
      <c r="E143" s="21">
        <v>6000.0</v>
      </c>
      <c r="F143" s="22">
        <f t="shared" si="28"/>
        <v>0</v>
      </c>
    </row>
    <row r="144" ht="15.75" customHeight="1">
      <c r="A144" s="21"/>
      <c r="B144" s="21" t="s">
        <v>126</v>
      </c>
      <c r="C144" s="19">
        <f t="shared" si="27"/>
        <v>1</v>
      </c>
      <c r="D144" s="20">
        <v>1.0</v>
      </c>
      <c r="E144" s="21">
        <v>6500.0</v>
      </c>
      <c r="F144" s="22">
        <f t="shared" si="28"/>
        <v>6500</v>
      </c>
    </row>
    <row r="145" ht="15.75" customHeight="1">
      <c r="A145" s="21"/>
      <c r="B145" s="21" t="s">
        <v>127</v>
      </c>
      <c r="C145" s="19">
        <f t="shared" si="27"/>
        <v>1</v>
      </c>
      <c r="D145" s="20">
        <v>0.0</v>
      </c>
      <c r="E145" s="21">
        <v>6000.0</v>
      </c>
      <c r="F145" s="22">
        <f t="shared" si="28"/>
        <v>0</v>
      </c>
    </row>
    <row r="146" ht="15.75" customHeight="1">
      <c r="A146" s="21"/>
      <c r="B146" s="21" t="s">
        <v>128</v>
      </c>
      <c r="C146" s="19">
        <f t="shared" si="27"/>
        <v>1</v>
      </c>
      <c r="D146" s="20">
        <v>0.0</v>
      </c>
      <c r="E146" s="21">
        <v>6000.0</v>
      </c>
      <c r="F146" s="22">
        <f t="shared" si="28"/>
        <v>0</v>
      </c>
    </row>
    <row r="147" ht="15.75" customHeight="1">
      <c r="A147" s="21"/>
      <c r="B147" s="21" t="s">
        <v>129</v>
      </c>
      <c r="C147" s="19">
        <f t="shared" si="27"/>
        <v>1</v>
      </c>
      <c r="D147" s="20">
        <v>1.0</v>
      </c>
      <c r="E147" s="21">
        <v>6500.0</v>
      </c>
      <c r="F147" s="22">
        <f t="shared" si="28"/>
        <v>6500</v>
      </c>
    </row>
    <row r="148" ht="15.75" customHeight="1">
      <c r="A148" s="21"/>
      <c r="B148" s="21" t="s">
        <v>130</v>
      </c>
      <c r="C148" s="19">
        <f t="shared" si="27"/>
        <v>1</v>
      </c>
      <c r="D148" s="20">
        <v>0.0</v>
      </c>
      <c r="E148" s="21">
        <v>5000.0</v>
      </c>
      <c r="F148" s="22">
        <f t="shared" si="28"/>
        <v>0</v>
      </c>
    </row>
    <row r="149" ht="15.75" customHeight="1">
      <c r="A149" s="21"/>
      <c r="B149" s="21" t="s">
        <v>131</v>
      </c>
      <c r="C149" s="19">
        <f t="shared" si="27"/>
        <v>1</v>
      </c>
      <c r="D149" s="20">
        <v>1.0</v>
      </c>
      <c r="E149" s="21">
        <v>6500.0</v>
      </c>
      <c r="F149" s="22">
        <f t="shared" si="28"/>
        <v>6500</v>
      </c>
    </row>
    <row r="150" ht="15.75" customHeight="1">
      <c r="A150" s="21"/>
      <c r="B150" s="21" t="s">
        <v>132</v>
      </c>
      <c r="C150" s="19">
        <f t="shared" si="27"/>
        <v>1</v>
      </c>
      <c r="D150" s="29">
        <v>0.0</v>
      </c>
      <c r="E150" s="21">
        <v>6000.0</v>
      </c>
      <c r="F150" s="22">
        <f t="shared" si="28"/>
        <v>0</v>
      </c>
    </row>
    <row r="151" ht="15.75" customHeight="1">
      <c r="A151" s="21"/>
      <c r="B151" s="21"/>
      <c r="C151" s="21"/>
      <c r="D151" s="21"/>
      <c r="E151" s="21"/>
      <c r="F151" s="22"/>
    </row>
    <row r="152" ht="15.75" customHeight="1">
      <c r="A152" s="12" t="s">
        <v>133</v>
      </c>
      <c r="B152" s="13"/>
      <c r="C152" s="12"/>
      <c r="D152" s="25"/>
      <c r="E152" s="25"/>
      <c r="F152" s="26">
        <f>IF(SUM(F153:F158)&gt;0,1,0)</f>
        <v>1</v>
      </c>
    </row>
    <row r="153" ht="15.75" customHeight="1">
      <c r="A153" s="21"/>
      <c r="B153" s="21" t="s">
        <v>134</v>
      </c>
      <c r="C153" s="20">
        <v>1.0</v>
      </c>
      <c r="D153" s="20">
        <v>0.0</v>
      </c>
      <c r="E153" s="21">
        <v>18.0</v>
      </c>
      <c r="F153" s="22">
        <f t="shared" ref="F153:F158" si="29">D153*E153*C153</f>
        <v>0</v>
      </c>
    </row>
    <row r="154" ht="15.75" customHeight="1">
      <c r="A154" s="21"/>
      <c r="B154" s="20" t="s">
        <v>135</v>
      </c>
      <c r="C154" s="20">
        <v>1.0</v>
      </c>
      <c r="D154" s="20">
        <v>0.0</v>
      </c>
      <c r="E154" s="20">
        <v>17.0</v>
      </c>
      <c r="F154" s="22">
        <f t="shared" si="29"/>
        <v>0</v>
      </c>
    </row>
    <row r="155" ht="15.75" customHeight="1">
      <c r="A155" s="21"/>
      <c r="B155" s="21" t="s">
        <v>136</v>
      </c>
      <c r="C155" s="21">
        <v>1.0</v>
      </c>
      <c r="D155" s="20">
        <v>0.0</v>
      </c>
      <c r="E155" s="21">
        <v>23.0</v>
      </c>
      <c r="F155" s="22">
        <f t="shared" si="29"/>
        <v>0</v>
      </c>
    </row>
    <row r="156" ht="15.75" customHeight="1">
      <c r="A156" s="21"/>
      <c r="B156" s="21" t="s">
        <v>137</v>
      </c>
      <c r="C156" s="21">
        <v>1.0</v>
      </c>
      <c r="D156" s="20">
        <v>120.0</v>
      </c>
      <c r="E156" s="21">
        <v>30.0</v>
      </c>
      <c r="F156" s="22">
        <f t="shared" si="29"/>
        <v>3600</v>
      </c>
    </row>
    <row r="157" ht="15.75" customHeight="1">
      <c r="A157" s="21"/>
      <c r="B157" s="20" t="s">
        <v>138</v>
      </c>
      <c r="C157" s="20">
        <v>1.0</v>
      </c>
      <c r="D157" s="20">
        <v>0.0</v>
      </c>
      <c r="E157" s="20">
        <v>50.0</v>
      </c>
      <c r="F157" s="22">
        <f t="shared" si="29"/>
        <v>0</v>
      </c>
    </row>
    <row r="158" ht="15.75" customHeight="1">
      <c r="A158" s="21"/>
      <c r="B158" s="21" t="s">
        <v>139</v>
      </c>
      <c r="C158" s="21">
        <v>1.0</v>
      </c>
      <c r="D158" s="29">
        <v>0.0</v>
      </c>
      <c r="E158" s="21">
        <v>7.0</v>
      </c>
      <c r="F158" s="22">
        <f t="shared" si="29"/>
        <v>0</v>
      </c>
    </row>
    <row r="159" ht="15.75" customHeight="1">
      <c r="A159" s="32"/>
      <c r="B159" s="33"/>
      <c r="C159" s="32"/>
      <c r="D159" s="34"/>
      <c r="E159" s="34"/>
      <c r="F159" s="35"/>
    </row>
    <row r="160" ht="15.75" customHeight="1">
      <c r="A160" s="36"/>
      <c r="B160" s="19" t="s">
        <v>140</v>
      </c>
      <c r="C160" s="36"/>
      <c r="D160" s="21"/>
      <c r="E160" s="21"/>
      <c r="F160" s="22">
        <f>SUM(F8:F137)</f>
        <v>110862</v>
      </c>
    </row>
    <row r="161" ht="15.75" customHeight="1">
      <c r="A161" s="36"/>
      <c r="B161" s="19" t="s">
        <v>121</v>
      </c>
      <c r="C161" s="36"/>
      <c r="D161" s="21"/>
      <c r="E161" s="21"/>
      <c r="F161" s="22">
        <f>SUM(F141:F150)</f>
        <v>19500</v>
      </c>
    </row>
    <row r="162" ht="15.75" customHeight="1">
      <c r="A162" s="25"/>
      <c r="B162" s="24" t="s">
        <v>133</v>
      </c>
      <c r="C162" s="24"/>
      <c r="D162" s="25"/>
      <c r="E162" s="25"/>
      <c r="F162" s="37">
        <f>SUM(F153:F158)</f>
        <v>3600</v>
      </c>
    </row>
    <row r="163" ht="15.75" customHeight="1">
      <c r="A163" s="21"/>
      <c r="B163" s="19"/>
      <c r="C163" s="19"/>
      <c r="D163" s="21"/>
      <c r="E163" s="21"/>
      <c r="F163" s="38">
        <v>1.0</v>
      </c>
    </row>
    <row r="164" ht="15.75" customHeight="1">
      <c r="A164" s="21"/>
      <c r="B164" s="19" t="s">
        <v>141</v>
      </c>
      <c r="C164" s="19"/>
      <c r="D164" s="21"/>
      <c r="E164" s="21"/>
      <c r="F164" s="22">
        <f>F160+F161+F162</f>
        <v>133962</v>
      </c>
    </row>
    <row r="165" ht="15.75" customHeight="1">
      <c r="A165" s="21"/>
      <c r="B165" s="19" t="s">
        <v>142</v>
      </c>
      <c r="C165" s="39">
        <v>20.0</v>
      </c>
      <c r="D165" s="18" t="s">
        <v>143</v>
      </c>
      <c r="E165" s="21"/>
      <c r="F165" s="22">
        <f>-(F160/100)*C165</f>
        <v>-22172.4</v>
      </c>
    </row>
    <row r="166" ht="15.75" customHeight="1">
      <c r="A166" s="21"/>
      <c r="B166" s="19"/>
      <c r="C166" s="19"/>
      <c r="D166" s="18"/>
      <c r="E166" s="21"/>
      <c r="F166" s="22"/>
    </row>
    <row r="167" ht="15.75" customHeight="1">
      <c r="D167" s="21"/>
      <c r="E167" s="21"/>
      <c r="F167" s="22"/>
    </row>
    <row r="168" ht="15.75" customHeight="1">
      <c r="B168" s="40" t="s">
        <v>144</v>
      </c>
      <c r="C168" s="40"/>
      <c r="D168" s="41"/>
      <c r="E168" s="41"/>
      <c r="F168" s="42">
        <f>SUM(F164:F165)</f>
        <v>111789.6</v>
      </c>
    </row>
    <row r="169" ht="15.75" customHeight="1">
      <c r="F169" s="43"/>
    </row>
    <row r="170" ht="15.75" customHeight="1">
      <c r="F170" s="43"/>
    </row>
    <row r="171" ht="15.75" customHeight="1">
      <c r="F171" s="43"/>
    </row>
    <row r="172" ht="15.75" customHeight="1">
      <c r="F172" s="43"/>
    </row>
    <row r="173" ht="15.75" customHeight="1">
      <c r="F173" s="43"/>
    </row>
    <row r="174" ht="15.75" customHeight="1">
      <c r="F174" s="43"/>
    </row>
    <row r="175" ht="15.75" customHeight="1">
      <c r="F175" s="43"/>
    </row>
    <row r="176" ht="15.75" customHeight="1">
      <c r="F176" s="43"/>
    </row>
    <row r="177" ht="15.75" customHeight="1">
      <c r="F177" s="43"/>
    </row>
    <row r="178" ht="15.75" customHeight="1">
      <c r="F178" s="43"/>
    </row>
    <row r="179" ht="15.75" customHeight="1">
      <c r="F179" s="43"/>
    </row>
    <row r="180" ht="15.75" customHeight="1">
      <c r="F180" s="43"/>
    </row>
    <row r="181" ht="15.75" customHeight="1">
      <c r="F181" s="43"/>
    </row>
    <row r="182" ht="15.75" customHeight="1">
      <c r="F182" s="43"/>
    </row>
    <row r="183" ht="15.75" customHeight="1">
      <c r="F183" s="43"/>
    </row>
    <row r="184" ht="15.75" customHeight="1">
      <c r="F184" s="43"/>
    </row>
    <row r="185" ht="15.75" customHeight="1">
      <c r="F185" s="43"/>
    </row>
    <row r="186" ht="15.75" customHeight="1">
      <c r="F186" s="43"/>
    </row>
    <row r="187" ht="15.75" customHeight="1">
      <c r="F187" s="43"/>
    </row>
    <row r="188" ht="15.75" customHeight="1">
      <c r="F188" s="43"/>
    </row>
    <row r="189" ht="15.75" customHeight="1">
      <c r="F189" s="43"/>
    </row>
    <row r="190" ht="15.75" customHeight="1">
      <c r="F190" s="43"/>
    </row>
    <row r="191" ht="15.75" customHeight="1">
      <c r="F191" s="43"/>
    </row>
    <row r="192" ht="15.75" customHeight="1">
      <c r="F192" s="43"/>
    </row>
    <row r="193" ht="15.75" customHeight="1">
      <c r="F193" s="43"/>
    </row>
    <row r="194" ht="15.75" customHeight="1">
      <c r="F194" s="43"/>
    </row>
    <row r="195" ht="15.75" customHeight="1">
      <c r="F195" s="43"/>
    </row>
    <row r="196" ht="15.75" customHeight="1">
      <c r="F196" s="43"/>
    </row>
    <row r="197" ht="15.75" customHeight="1">
      <c r="F197" s="43"/>
    </row>
    <row r="198" ht="15.75" customHeight="1">
      <c r="F198" s="43"/>
    </row>
    <row r="199" ht="15.75" customHeight="1">
      <c r="F199" s="43"/>
    </row>
    <row r="200" ht="15.75" customHeight="1">
      <c r="F200" s="43"/>
    </row>
    <row r="201" ht="15.75" customHeight="1">
      <c r="F201" s="43"/>
    </row>
    <row r="202" ht="15.75" customHeight="1">
      <c r="F202" s="43"/>
    </row>
    <row r="203" ht="15.75" customHeight="1">
      <c r="F203" s="43"/>
    </row>
    <row r="204" ht="15.75" customHeight="1">
      <c r="F204" s="43"/>
    </row>
    <row r="205" ht="15.75" customHeight="1">
      <c r="F205" s="43"/>
    </row>
    <row r="206" ht="15.75" customHeight="1">
      <c r="F206" s="43"/>
    </row>
    <row r="207" ht="15.75" customHeight="1">
      <c r="F207" s="43"/>
    </row>
    <row r="208" ht="15.75" customHeight="1">
      <c r="F208" s="43"/>
    </row>
    <row r="209" ht="15.75" customHeight="1">
      <c r="F209" s="43"/>
    </row>
    <row r="210" ht="15.75" customHeight="1">
      <c r="F210" s="43"/>
    </row>
    <row r="211" ht="15.75" customHeight="1">
      <c r="F211" s="43"/>
    </row>
    <row r="212" ht="15.75" customHeight="1">
      <c r="F212" s="43"/>
    </row>
    <row r="213" ht="15.75" customHeight="1">
      <c r="F213" s="43"/>
    </row>
    <row r="214" ht="15.75" customHeight="1">
      <c r="F214" s="43"/>
    </row>
    <row r="215" ht="15.75" customHeight="1">
      <c r="F215" s="43"/>
    </row>
    <row r="216" ht="15.75" customHeight="1">
      <c r="F216" s="43"/>
    </row>
    <row r="217" ht="15.75" customHeight="1">
      <c r="F217" s="43"/>
    </row>
    <row r="218" ht="15.75" customHeight="1">
      <c r="F218" s="43"/>
    </row>
    <row r="219" ht="15.75" customHeight="1">
      <c r="F219" s="43"/>
    </row>
    <row r="220" ht="15.75" customHeight="1">
      <c r="F220" s="43"/>
    </row>
    <row r="221" ht="15.75" customHeight="1">
      <c r="F221" s="43"/>
    </row>
    <row r="222" ht="15.75" customHeight="1">
      <c r="F222" s="43"/>
    </row>
    <row r="223" ht="15.75" customHeight="1">
      <c r="F223" s="43"/>
    </row>
    <row r="224" ht="15.75" customHeight="1">
      <c r="F224" s="43"/>
    </row>
    <row r="225" ht="15.75" customHeight="1">
      <c r="F225" s="43"/>
    </row>
    <row r="226" ht="15.75" customHeight="1">
      <c r="F226" s="43"/>
    </row>
    <row r="227" ht="15.75" customHeight="1">
      <c r="F227" s="43"/>
    </row>
    <row r="228" ht="15.75" customHeight="1">
      <c r="F228" s="43"/>
    </row>
    <row r="229" ht="15.75" customHeight="1">
      <c r="F229" s="43"/>
    </row>
    <row r="230" ht="15.75" customHeight="1">
      <c r="F230" s="43"/>
    </row>
    <row r="231" ht="15.75" customHeight="1">
      <c r="F231" s="43"/>
    </row>
    <row r="232" ht="15.75" customHeight="1">
      <c r="F232" s="43"/>
    </row>
    <row r="233" ht="15.75" customHeight="1">
      <c r="F233" s="43"/>
    </row>
    <row r="234" ht="15.75" customHeight="1">
      <c r="F234" s="43"/>
    </row>
    <row r="235" ht="15.75" customHeight="1">
      <c r="F235" s="43"/>
    </row>
    <row r="236" ht="15.75" customHeight="1">
      <c r="F236" s="43"/>
    </row>
    <row r="237" ht="15.75" customHeight="1">
      <c r="F237" s="43"/>
    </row>
    <row r="238" ht="15.75" customHeight="1">
      <c r="F238" s="43"/>
    </row>
    <row r="239" ht="15.75" customHeight="1">
      <c r="F239" s="43"/>
    </row>
    <row r="240" ht="15.75" customHeight="1">
      <c r="F240" s="43"/>
    </row>
    <row r="241" ht="15.75" customHeight="1">
      <c r="F241" s="43"/>
    </row>
    <row r="242" ht="15.75" customHeight="1">
      <c r="F242" s="43"/>
    </row>
    <row r="243" ht="15.75" customHeight="1">
      <c r="F243" s="43"/>
    </row>
    <row r="244" ht="15.75" customHeight="1">
      <c r="F244" s="43"/>
    </row>
    <row r="245" ht="15.75" customHeight="1">
      <c r="F245" s="43"/>
    </row>
    <row r="246" ht="15.75" customHeight="1">
      <c r="F246" s="43"/>
    </row>
    <row r="247" ht="15.75" customHeight="1">
      <c r="F247" s="43"/>
    </row>
    <row r="248" ht="15.75" customHeight="1">
      <c r="F248" s="43"/>
    </row>
    <row r="249" ht="15.75" customHeight="1">
      <c r="F249" s="43"/>
    </row>
    <row r="250" ht="15.75" customHeight="1">
      <c r="F250" s="43"/>
    </row>
    <row r="251" ht="15.75" customHeight="1">
      <c r="F251" s="43"/>
    </row>
    <row r="252" ht="15.75" customHeight="1">
      <c r="F252" s="43"/>
    </row>
    <row r="253" ht="15.75" customHeight="1">
      <c r="F253" s="43"/>
    </row>
    <row r="254" ht="15.75" customHeight="1">
      <c r="F254" s="43"/>
    </row>
    <row r="255" ht="15.75" customHeight="1">
      <c r="F255" s="43"/>
    </row>
    <row r="256" ht="15.75" customHeight="1">
      <c r="F256" s="43"/>
    </row>
    <row r="257" ht="15.75" customHeight="1">
      <c r="F257" s="43"/>
    </row>
    <row r="258" ht="15.75" customHeight="1">
      <c r="F258" s="43"/>
    </row>
    <row r="259" ht="15.75" customHeight="1">
      <c r="F259" s="43"/>
    </row>
    <row r="260" ht="15.75" customHeight="1">
      <c r="F260" s="43"/>
    </row>
    <row r="261" ht="15.75" customHeight="1">
      <c r="F261" s="43"/>
    </row>
    <row r="262" ht="15.75" customHeight="1">
      <c r="F262" s="43"/>
    </row>
    <row r="263" ht="15.75" customHeight="1">
      <c r="F263" s="43"/>
    </row>
    <row r="264" ht="15.75" customHeight="1">
      <c r="F264" s="43"/>
    </row>
    <row r="265" ht="15.75" customHeight="1">
      <c r="F265" s="43"/>
    </row>
    <row r="266" ht="15.75" customHeight="1">
      <c r="F266" s="43"/>
    </row>
    <row r="267" ht="15.75" customHeight="1">
      <c r="F267" s="43"/>
    </row>
    <row r="268" ht="15.75" customHeight="1">
      <c r="F268" s="43"/>
    </row>
    <row r="269" ht="15.75" customHeight="1">
      <c r="F269" s="43"/>
    </row>
    <row r="270" ht="15.75" customHeight="1">
      <c r="F270" s="43"/>
    </row>
    <row r="271" ht="15.75" customHeight="1">
      <c r="F271" s="43"/>
    </row>
    <row r="272" ht="15.75" customHeight="1">
      <c r="F272" s="43"/>
    </row>
    <row r="273" ht="15.75" customHeight="1">
      <c r="F273" s="43"/>
    </row>
    <row r="274" ht="15.75" customHeight="1">
      <c r="F274" s="43"/>
    </row>
    <row r="275" ht="15.75" customHeight="1">
      <c r="F275" s="43"/>
    </row>
    <row r="276" ht="15.75" customHeight="1">
      <c r="F276" s="43"/>
    </row>
    <row r="277" ht="15.75" customHeight="1">
      <c r="F277" s="43"/>
    </row>
    <row r="278" ht="15.75" customHeight="1">
      <c r="F278" s="43"/>
    </row>
    <row r="279" ht="15.75" customHeight="1">
      <c r="F279" s="43"/>
    </row>
    <row r="280" ht="15.75" customHeight="1">
      <c r="F280" s="43"/>
    </row>
    <row r="281" ht="15.75" customHeight="1">
      <c r="F281" s="43"/>
    </row>
    <row r="282" ht="15.75" customHeight="1">
      <c r="F282" s="43"/>
    </row>
    <row r="283" ht="15.75" customHeight="1">
      <c r="F283" s="43"/>
    </row>
    <row r="284" ht="15.75" customHeight="1">
      <c r="F284" s="43"/>
    </row>
    <row r="285" ht="15.75" customHeight="1">
      <c r="F285" s="43"/>
    </row>
    <row r="286" ht="15.75" customHeight="1">
      <c r="F286" s="43"/>
    </row>
    <row r="287" ht="15.75" customHeight="1">
      <c r="F287" s="43"/>
    </row>
    <row r="288" ht="15.75" customHeight="1">
      <c r="F288" s="43"/>
    </row>
    <row r="289" ht="15.75" customHeight="1">
      <c r="F289" s="43"/>
    </row>
    <row r="290" ht="15.75" customHeight="1">
      <c r="F290" s="43"/>
    </row>
    <row r="291" ht="15.75" customHeight="1">
      <c r="F291" s="43"/>
    </row>
    <row r="292" ht="15.75" customHeight="1">
      <c r="F292" s="43"/>
    </row>
    <row r="293" ht="15.75" customHeight="1">
      <c r="F293" s="43"/>
    </row>
    <row r="294" ht="15.75" customHeight="1">
      <c r="F294" s="43"/>
    </row>
    <row r="295" ht="15.75" customHeight="1">
      <c r="F295" s="43"/>
    </row>
    <row r="296" ht="15.75" customHeight="1">
      <c r="F296" s="43"/>
    </row>
    <row r="297" ht="15.75" customHeight="1">
      <c r="F297" s="43"/>
    </row>
    <row r="298" ht="15.75" customHeight="1">
      <c r="F298" s="43"/>
    </row>
    <row r="299" ht="15.75" customHeight="1">
      <c r="F299" s="43"/>
    </row>
    <row r="300" ht="15.75" customHeight="1">
      <c r="F300" s="43"/>
    </row>
    <row r="301" ht="15.75" customHeight="1">
      <c r="F301" s="43"/>
    </row>
    <row r="302" ht="15.75" customHeight="1">
      <c r="F302" s="43"/>
    </row>
    <row r="303" ht="15.75" customHeight="1">
      <c r="F303" s="43"/>
    </row>
    <row r="304" ht="15.75" customHeight="1">
      <c r="F304" s="43"/>
    </row>
    <row r="305" ht="15.75" customHeight="1">
      <c r="F305" s="43"/>
    </row>
    <row r="306" ht="15.75" customHeight="1">
      <c r="F306" s="43"/>
    </row>
    <row r="307" ht="15.75" customHeight="1">
      <c r="F307" s="43"/>
    </row>
    <row r="308" ht="15.75" customHeight="1">
      <c r="F308" s="43"/>
    </row>
    <row r="309" ht="15.75" customHeight="1">
      <c r="F309" s="43"/>
    </row>
    <row r="310" ht="15.75" customHeight="1">
      <c r="F310" s="43"/>
    </row>
    <row r="311" ht="15.75" customHeight="1">
      <c r="F311" s="43"/>
    </row>
    <row r="312" ht="15.75" customHeight="1">
      <c r="F312" s="43"/>
    </row>
    <row r="313" ht="15.75" customHeight="1">
      <c r="F313" s="43"/>
    </row>
    <row r="314" ht="15.75" customHeight="1">
      <c r="F314" s="43"/>
    </row>
    <row r="315" ht="15.75" customHeight="1">
      <c r="F315" s="43"/>
    </row>
    <row r="316" ht="15.75" customHeight="1">
      <c r="F316" s="43"/>
    </row>
    <row r="317" ht="15.75" customHeight="1">
      <c r="F317" s="43"/>
    </row>
    <row r="318" ht="15.75" customHeight="1">
      <c r="F318" s="43"/>
    </row>
    <row r="319" ht="15.75" customHeight="1">
      <c r="F319" s="43"/>
    </row>
    <row r="320" ht="15.75" customHeight="1">
      <c r="F320" s="43"/>
    </row>
    <row r="321" ht="15.75" customHeight="1">
      <c r="F321" s="43"/>
    </row>
    <row r="322" ht="15.75" customHeight="1">
      <c r="F322" s="43"/>
    </row>
    <row r="323" ht="15.75" customHeight="1">
      <c r="F323" s="43"/>
    </row>
    <row r="324" ht="15.75" customHeight="1">
      <c r="F324" s="43"/>
    </row>
    <row r="325" ht="15.75" customHeight="1">
      <c r="F325" s="43"/>
    </row>
    <row r="326" ht="15.75" customHeight="1">
      <c r="F326" s="43"/>
    </row>
    <row r="327" ht="15.75" customHeight="1">
      <c r="F327" s="43"/>
    </row>
    <row r="328" ht="15.75" customHeight="1">
      <c r="F328" s="43"/>
    </row>
    <row r="329" ht="15.75" customHeight="1">
      <c r="F329" s="43"/>
    </row>
    <row r="330" ht="15.75" customHeight="1">
      <c r="F330" s="43"/>
    </row>
    <row r="331" ht="15.75" customHeight="1">
      <c r="F331" s="43"/>
    </row>
    <row r="332" ht="15.75" customHeight="1">
      <c r="F332" s="43"/>
    </row>
    <row r="333" ht="15.75" customHeight="1">
      <c r="F333" s="43"/>
    </row>
    <row r="334" ht="15.75" customHeight="1">
      <c r="F334" s="43"/>
    </row>
    <row r="335" ht="15.75" customHeight="1">
      <c r="F335" s="43"/>
    </row>
    <row r="336" ht="15.75" customHeight="1">
      <c r="F336" s="43"/>
    </row>
    <row r="337" ht="15.75" customHeight="1">
      <c r="F337" s="43"/>
    </row>
    <row r="338" ht="15.75" customHeight="1">
      <c r="F338" s="43"/>
    </row>
    <row r="339" ht="15.75" customHeight="1">
      <c r="F339" s="43"/>
    </row>
    <row r="340" ht="15.75" customHeight="1">
      <c r="F340" s="43"/>
    </row>
    <row r="341" ht="15.75" customHeight="1">
      <c r="F341" s="43"/>
    </row>
    <row r="342" ht="15.75" customHeight="1">
      <c r="F342" s="43"/>
    </row>
    <row r="343" ht="15.75" customHeight="1">
      <c r="F343" s="43"/>
    </row>
    <row r="344" ht="15.75" customHeight="1">
      <c r="F344" s="43"/>
    </row>
    <row r="345" ht="15.75" customHeight="1">
      <c r="F345" s="43"/>
    </row>
    <row r="346" ht="15.75" customHeight="1">
      <c r="F346" s="43"/>
    </row>
    <row r="347" ht="15.75" customHeight="1">
      <c r="F347" s="43"/>
    </row>
    <row r="348" ht="15.75" customHeight="1">
      <c r="F348" s="43"/>
    </row>
    <row r="349" ht="15.75" customHeight="1">
      <c r="F349" s="43"/>
    </row>
    <row r="350" ht="15.75" customHeight="1">
      <c r="F350" s="43"/>
    </row>
    <row r="351" ht="15.75" customHeight="1">
      <c r="F351" s="43"/>
    </row>
    <row r="352" ht="15.75" customHeight="1">
      <c r="F352" s="43"/>
    </row>
    <row r="353" ht="15.75" customHeight="1">
      <c r="F353" s="43"/>
    </row>
    <row r="354" ht="15.75" customHeight="1">
      <c r="F354" s="43"/>
    </row>
    <row r="355" ht="15.75" customHeight="1">
      <c r="F355" s="43"/>
    </row>
    <row r="356" ht="15.75" customHeight="1">
      <c r="F356" s="43"/>
    </row>
    <row r="357" ht="15.75" customHeight="1">
      <c r="F357" s="43"/>
    </row>
    <row r="358" ht="15.75" customHeight="1">
      <c r="F358" s="43"/>
    </row>
    <row r="359" ht="15.75" customHeight="1">
      <c r="F359" s="43"/>
    </row>
    <row r="360" ht="15.75" customHeight="1">
      <c r="F360" s="43"/>
    </row>
    <row r="361" ht="15.75" customHeight="1">
      <c r="F361" s="43"/>
    </row>
    <row r="362" ht="15.75" customHeight="1">
      <c r="F362" s="43"/>
    </row>
    <row r="363" ht="15.75" customHeight="1">
      <c r="F363" s="43"/>
    </row>
    <row r="364" ht="15.75" customHeight="1">
      <c r="F364" s="43"/>
    </row>
    <row r="365" ht="15.75" customHeight="1">
      <c r="F365" s="43"/>
    </row>
    <row r="366" ht="15.75" customHeight="1">
      <c r="F366" s="43"/>
    </row>
    <row r="367" ht="15.75" customHeight="1">
      <c r="F367" s="43"/>
    </row>
    <row r="368" ht="15.75" customHeight="1">
      <c r="F368" s="43"/>
    </row>
    <row r="369" ht="15.75" customHeight="1">
      <c r="F369" s="43"/>
    </row>
    <row r="370" ht="15.75" customHeight="1">
      <c r="F370" s="43"/>
    </row>
    <row r="371" ht="15.75" customHeight="1">
      <c r="F371" s="43"/>
    </row>
    <row r="372" ht="15.75" customHeight="1">
      <c r="F372" s="43"/>
    </row>
    <row r="373" ht="15.75" customHeight="1">
      <c r="F373" s="43"/>
    </row>
    <row r="374" ht="15.75" customHeight="1">
      <c r="F374" s="43"/>
    </row>
    <row r="375" ht="15.75" customHeight="1">
      <c r="F375" s="43"/>
    </row>
    <row r="376" ht="15.75" customHeight="1">
      <c r="F376" s="43"/>
    </row>
    <row r="377" ht="15.75" customHeight="1">
      <c r="F377" s="43"/>
    </row>
    <row r="378" ht="15.75" customHeight="1">
      <c r="F378" s="43"/>
    </row>
    <row r="379" ht="15.75" customHeight="1">
      <c r="F379" s="43"/>
    </row>
    <row r="380" ht="15.75" customHeight="1">
      <c r="F380" s="43"/>
    </row>
    <row r="381" ht="15.75" customHeight="1">
      <c r="F381" s="43"/>
    </row>
    <row r="382" ht="15.75" customHeight="1">
      <c r="F382" s="43"/>
    </row>
    <row r="383" ht="15.75" customHeight="1">
      <c r="F383" s="43"/>
    </row>
    <row r="384" ht="15.75" customHeight="1">
      <c r="F384" s="43"/>
    </row>
    <row r="385" ht="15.75" customHeight="1">
      <c r="F385" s="43"/>
    </row>
    <row r="386" ht="15.75" customHeight="1">
      <c r="F386" s="43"/>
    </row>
    <row r="387" ht="15.75" customHeight="1">
      <c r="F387" s="43"/>
    </row>
    <row r="388" ht="15.75" customHeight="1">
      <c r="F388" s="43"/>
    </row>
    <row r="389" ht="15.75" customHeight="1">
      <c r="F389" s="43"/>
    </row>
    <row r="390" ht="15.75" customHeight="1">
      <c r="F390" s="43"/>
    </row>
    <row r="391" ht="15.75" customHeight="1">
      <c r="F391" s="43"/>
    </row>
    <row r="392" ht="15.75" customHeight="1">
      <c r="F392" s="43"/>
    </row>
    <row r="393" ht="15.75" customHeight="1">
      <c r="F393" s="43"/>
    </row>
    <row r="394" ht="15.75" customHeight="1">
      <c r="F394" s="43"/>
    </row>
    <row r="395" ht="15.75" customHeight="1">
      <c r="F395" s="43"/>
    </row>
    <row r="396" ht="15.75" customHeight="1">
      <c r="F396" s="43"/>
    </row>
    <row r="397" ht="15.75" customHeight="1">
      <c r="F397" s="43"/>
    </row>
    <row r="398" ht="15.75" customHeight="1">
      <c r="F398" s="43"/>
    </row>
    <row r="399" ht="15.75" customHeight="1">
      <c r="F399" s="43"/>
    </row>
    <row r="400" ht="15.75" customHeight="1">
      <c r="F400" s="43"/>
    </row>
    <row r="401" ht="15.75" customHeight="1">
      <c r="F401" s="43"/>
    </row>
    <row r="402" ht="15.75" customHeight="1">
      <c r="F402" s="43"/>
    </row>
    <row r="403" ht="15.75" customHeight="1">
      <c r="F403" s="43"/>
    </row>
    <row r="404" ht="15.75" customHeight="1">
      <c r="F404" s="43"/>
    </row>
    <row r="405" ht="15.75" customHeight="1">
      <c r="F405" s="43"/>
    </row>
    <row r="406" ht="15.75" customHeight="1">
      <c r="F406" s="43"/>
    </row>
    <row r="407" ht="15.75" customHeight="1">
      <c r="F407" s="43"/>
    </row>
    <row r="408" ht="15.75" customHeight="1">
      <c r="F408" s="43"/>
    </row>
    <row r="409" ht="15.75" customHeight="1">
      <c r="F409" s="43"/>
    </row>
    <row r="410" ht="15.75" customHeight="1">
      <c r="F410" s="43"/>
    </row>
    <row r="411" ht="15.75" customHeight="1">
      <c r="F411" s="43"/>
    </row>
    <row r="412" ht="15.75" customHeight="1">
      <c r="F412" s="43"/>
    </row>
    <row r="413" ht="15.75" customHeight="1">
      <c r="F413" s="43"/>
    </row>
    <row r="414" ht="15.75" customHeight="1">
      <c r="F414" s="43"/>
    </row>
    <row r="415" ht="15.75" customHeight="1">
      <c r="F415" s="43"/>
    </row>
    <row r="416" ht="15.75" customHeight="1">
      <c r="F416" s="43"/>
    </row>
    <row r="417" ht="15.75" customHeight="1">
      <c r="F417" s="43"/>
    </row>
    <row r="418" ht="15.75" customHeight="1">
      <c r="F418" s="43"/>
    </row>
    <row r="419" ht="15.75" customHeight="1">
      <c r="F419" s="43"/>
    </row>
    <row r="420" ht="15.75" customHeight="1">
      <c r="F420" s="43"/>
    </row>
    <row r="421" ht="15.75" customHeight="1">
      <c r="F421" s="43"/>
    </row>
    <row r="422" ht="15.75" customHeight="1">
      <c r="F422" s="43"/>
    </row>
    <row r="423" ht="15.75" customHeight="1">
      <c r="F423" s="43"/>
    </row>
    <row r="424" ht="15.75" customHeight="1">
      <c r="F424" s="43"/>
    </row>
    <row r="425" ht="15.75" customHeight="1">
      <c r="F425" s="43"/>
    </row>
    <row r="426" ht="15.75" customHeight="1">
      <c r="F426" s="43"/>
    </row>
    <row r="427" ht="15.75" customHeight="1">
      <c r="F427" s="43"/>
    </row>
    <row r="428" ht="15.75" customHeight="1">
      <c r="F428" s="43"/>
    </row>
    <row r="429" ht="15.75" customHeight="1">
      <c r="F429" s="43"/>
    </row>
    <row r="430" ht="15.75" customHeight="1">
      <c r="F430" s="43"/>
    </row>
    <row r="431" ht="15.75" customHeight="1">
      <c r="F431" s="43"/>
    </row>
    <row r="432" ht="15.75" customHeight="1">
      <c r="F432" s="43"/>
    </row>
    <row r="433" ht="15.75" customHeight="1">
      <c r="F433" s="43"/>
    </row>
    <row r="434" ht="15.75" customHeight="1">
      <c r="F434" s="43"/>
    </row>
    <row r="435" ht="15.75" customHeight="1">
      <c r="F435" s="43"/>
    </row>
    <row r="436" ht="15.75" customHeight="1">
      <c r="F436" s="43"/>
    </row>
    <row r="437" ht="15.75" customHeight="1">
      <c r="F437" s="43"/>
    </row>
    <row r="438" ht="15.75" customHeight="1">
      <c r="F438" s="43"/>
    </row>
    <row r="439" ht="15.75" customHeight="1">
      <c r="F439" s="43"/>
    </row>
    <row r="440" ht="15.75" customHeight="1">
      <c r="F440" s="43"/>
    </row>
    <row r="441" ht="15.75" customHeight="1">
      <c r="F441" s="43"/>
    </row>
    <row r="442" ht="15.75" customHeight="1">
      <c r="F442" s="43"/>
    </row>
    <row r="443" ht="15.75" customHeight="1">
      <c r="F443" s="43"/>
    </row>
    <row r="444" ht="15.75" customHeight="1">
      <c r="F444" s="43"/>
    </row>
    <row r="445" ht="15.75" customHeight="1">
      <c r="F445" s="43"/>
    </row>
    <row r="446" ht="15.75" customHeight="1">
      <c r="F446" s="43"/>
    </row>
    <row r="447" ht="15.75" customHeight="1">
      <c r="F447" s="43"/>
    </row>
    <row r="448" ht="15.75" customHeight="1">
      <c r="F448" s="43"/>
    </row>
    <row r="449" ht="15.75" customHeight="1">
      <c r="F449" s="43"/>
    </row>
    <row r="450" ht="15.75" customHeight="1">
      <c r="F450" s="43"/>
    </row>
    <row r="451" ht="15.75" customHeight="1">
      <c r="F451" s="43"/>
    </row>
    <row r="452" ht="15.75" customHeight="1">
      <c r="F452" s="43"/>
    </row>
    <row r="453" ht="15.75" customHeight="1">
      <c r="F453" s="43"/>
    </row>
    <row r="454" ht="15.75" customHeight="1">
      <c r="F454" s="43"/>
    </row>
    <row r="455" ht="15.75" customHeight="1">
      <c r="F455" s="43"/>
    </row>
    <row r="456" ht="15.75" customHeight="1">
      <c r="F456" s="43"/>
    </row>
    <row r="457" ht="15.75" customHeight="1">
      <c r="F457" s="43"/>
    </row>
    <row r="458" ht="15.75" customHeight="1">
      <c r="F458" s="43"/>
    </row>
    <row r="459" ht="15.75" customHeight="1">
      <c r="F459" s="43"/>
    </row>
    <row r="460" ht="15.75" customHeight="1">
      <c r="F460" s="43"/>
    </row>
    <row r="461" ht="15.75" customHeight="1">
      <c r="F461" s="43"/>
    </row>
    <row r="462" ht="15.75" customHeight="1">
      <c r="F462" s="43"/>
    </row>
    <row r="463" ht="15.75" customHeight="1">
      <c r="F463" s="43"/>
    </row>
    <row r="464" ht="15.75" customHeight="1">
      <c r="F464" s="43"/>
    </row>
    <row r="465" ht="15.75" customHeight="1">
      <c r="F465" s="43"/>
    </row>
    <row r="466" ht="15.75" customHeight="1">
      <c r="F466" s="43"/>
    </row>
    <row r="467" ht="15.75" customHeight="1">
      <c r="F467" s="43"/>
    </row>
    <row r="468" ht="15.75" customHeight="1">
      <c r="F468" s="43"/>
    </row>
    <row r="469" ht="15.75" customHeight="1">
      <c r="F469" s="43"/>
    </row>
    <row r="470" ht="15.75" customHeight="1">
      <c r="F470" s="43"/>
    </row>
    <row r="471" ht="15.75" customHeight="1">
      <c r="F471" s="43"/>
    </row>
    <row r="472" ht="15.75" customHeight="1">
      <c r="F472" s="43"/>
    </row>
    <row r="473" ht="15.75" customHeight="1">
      <c r="F473" s="43"/>
    </row>
    <row r="474" ht="15.75" customHeight="1">
      <c r="F474" s="43"/>
    </row>
    <row r="475" ht="15.75" customHeight="1">
      <c r="F475" s="43"/>
    </row>
    <row r="476" ht="15.75" customHeight="1">
      <c r="F476" s="43"/>
    </row>
    <row r="477" ht="15.75" customHeight="1">
      <c r="F477" s="43"/>
    </row>
    <row r="478" ht="15.75" customHeight="1">
      <c r="F478" s="43"/>
    </row>
    <row r="479" ht="15.75" customHeight="1">
      <c r="F479" s="43"/>
    </row>
    <row r="480" ht="15.75" customHeight="1">
      <c r="F480" s="43"/>
    </row>
    <row r="481" ht="15.75" customHeight="1">
      <c r="F481" s="43"/>
    </row>
    <row r="482" ht="15.75" customHeight="1">
      <c r="F482" s="43"/>
    </row>
    <row r="483" ht="15.75" customHeight="1">
      <c r="F483" s="43"/>
    </row>
    <row r="484" ht="15.75" customHeight="1">
      <c r="F484" s="43"/>
    </row>
    <row r="485" ht="15.75" customHeight="1">
      <c r="F485" s="43"/>
    </row>
    <row r="486" ht="15.75" customHeight="1">
      <c r="F486" s="43"/>
    </row>
    <row r="487" ht="15.75" customHeight="1">
      <c r="F487" s="43"/>
    </row>
    <row r="488" ht="15.75" customHeight="1">
      <c r="F488" s="43"/>
    </row>
    <row r="489" ht="15.75" customHeight="1">
      <c r="F489" s="43"/>
    </row>
    <row r="490" ht="15.75" customHeight="1">
      <c r="F490" s="43"/>
    </row>
    <row r="491" ht="15.75" customHeight="1">
      <c r="F491" s="43"/>
    </row>
    <row r="492" ht="15.75" customHeight="1">
      <c r="F492" s="43"/>
    </row>
    <row r="493" ht="15.75" customHeight="1">
      <c r="F493" s="43"/>
    </row>
    <row r="494" ht="15.75" customHeight="1">
      <c r="F494" s="43"/>
    </row>
    <row r="495" ht="15.75" customHeight="1">
      <c r="F495" s="43"/>
    </row>
    <row r="496" ht="15.75" customHeight="1">
      <c r="F496" s="43"/>
    </row>
    <row r="497" ht="15.75" customHeight="1">
      <c r="F497" s="43"/>
    </row>
    <row r="498" ht="15.75" customHeight="1">
      <c r="F498" s="43"/>
    </row>
    <row r="499" ht="15.75" customHeight="1">
      <c r="F499" s="43"/>
    </row>
    <row r="500" ht="15.75" customHeight="1">
      <c r="F500" s="43"/>
    </row>
    <row r="501" ht="15.75" customHeight="1">
      <c r="F501" s="43"/>
    </row>
    <row r="502" ht="15.75" customHeight="1">
      <c r="F502" s="43"/>
    </row>
    <row r="503" ht="15.75" customHeight="1">
      <c r="F503" s="43"/>
    </row>
    <row r="504" ht="15.75" customHeight="1">
      <c r="F504" s="43"/>
    </row>
    <row r="505" ht="15.75" customHeight="1">
      <c r="F505" s="43"/>
    </row>
    <row r="506" ht="15.75" customHeight="1">
      <c r="F506" s="43"/>
    </row>
    <row r="507" ht="15.75" customHeight="1">
      <c r="F507" s="43"/>
    </row>
    <row r="508" ht="15.75" customHeight="1">
      <c r="F508" s="43"/>
    </row>
    <row r="509" ht="15.75" customHeight="1">
      <c r="F509" s="43"/>
    </row>
    <row r="510" ht="15.75" customHeight="1">
      <c r="F510" s="43"/>
    </row>
    <row r="511" ht="15.75" customHeight="1">
      <c r="F511" s="43"/>
    </row>
    <row r="512" ht="15.75" customHeight="1">
      <c r="F512" s="43"/>
    </row>
    <row r="513" ht="15.75" customHeight="1">
      <c r="F513" s="43"/>
    </row>
    <row r="514" ht="15.75" customHeight="1">
      <c r="F514" s="43"/>
    </row>
    <row r="515" ht="15.75" customHeight="1">
      <c r="F515" s="43"/>
    </row>
    <row r="516" ht="15.75" customHeight="1">
      <c r="F516" s="43"/>
    </row>
    <row r="517" ht="15.75" customHeight="1">
      <c r="F517" s="43"/>
    </row>
    <row r="518" ht="15.75" customHeight="1">
      <c r="F518" s="43"/>
    </row>
    <row r="519" ht="15.75" customHeight="1">
      <c r="F519" s="43"/>
    </row>
    <row r="520" ht="15.75" customHeight="1">
      <c r="F520" s="43"/>
    </row>
    <row r="521" ht="15.75" customHeight="1">
      <c r="F521" s="43"/>
    </row>
    <row r="522" ht="15.75" customHeight="1">
      <c r="F522" s="43"/>
    </row>
    <row r="523" ht="15.75" customHeight="1">
      <c r="F523" s="43"/>
    </row>
    <row r="524" ht="15.75" customHeight="1">
      <c r="F524" s="43"/>
    </row>
    <row r="525" ht="15.75" customHeight="1">
      <c r="F525" s="43"/>
    </row>
    <row r="526" ht="15.75" customHeight="1">
      <c r="F526" s="43"/>
    </row>
    <row r="527" ht="15.75" customHeight="1">
      <c r="F527" s="43"/>
    </row>
    <row r="528" ht="15.75" customHeight="1">
      <c r="F528" s="43"/>
    </row>
    <row r="529" ht="15.75" customHeight="1">
      <c r="F529" s="43"/>
    </row>
    <row r="530" ht="15.75" customHeight="1">
      <c r="F530" s="43"/>
    </row>
    <row r="531" ht="15.75" customHeight="1">
      <c r="F531" s="43"/>
    </row>
    <row r="532" ht="15.75" customHeight="1">
      <c r="F532" s="43"/>
    </row>
    <row r="533" ht="15.75" customHeight="1">
      <c r="F533" s="43"/>
    </row>
    <row r="534" ht="15.75" customHeight="1">
      <c r="F534" s="43"/>
    </row>
    <row r="535" ht="15.75" customHeight="1">
      <c r="F535" s="43"/>
    </row>
    <row r="536" ht="15.75" customHeight="1">
      <c r="F536" s="43"/>
    </row>
    <row r="537" ht="15.75" customHeight="1">
      <c r="F537" s="43"/>
    </row>
    <row r="538" ht="15.75" customHeight="1">
      <c r="F538" s="43"/>
    </row>
    <row r="539" ht="15.75" customHeight="1">
      <c r="F539" s="43"/>
    </row>
    <row r="540" ht="15.75" customHeight="1">
      <c r="F540" s="43"/>
    </row>
    <row r="541" ht="15.75" customHeight="1">
      <c r="F541" s="43"/>
    </row>
    <row r="542" ht="15.75" customHeight="1">
      <c r="F542" s="43"/>
    </row>
    <row r="543" ht="15.75" customHeight="1">
      <c r="F543" s="43"/>
    </row>
    <row r="544" ht="15.75" customHeight="1">
      <c r="F544" s="43"/>
    </row>
    <row r="545" ht="15.75" customHeight="1">
      <c r="F545" s="43"/>
    </row>
    <row r="546" ht="15.75" customHeight="1">
      <c r="F546" s="43"/>
    </row>
    <row r="547" ht="15.75" customHeight="1">
      <c r="F547" s="43"/>
    </row>
    <row r="548" ht="15.75" customHeight="1">
      <c r="F548" s="43"/>
    </row>
    <row r="549" ht="15.75" customHeight="1">
      <c r="F549" s="43"/>
    </row>
    <row r="550" ht="15.75" customHeight="1">
      <c r="F550" s="43"/>
    </row>
    <row r="551" ht="15.75" customHeight="1">
      <c r="F551" s="43"/>
    </row>
    <row r="552" ht="15.75" customHeight="1">
      <c r="F552" s="43"/>
    </row>
    <row r="553" ht="15.75" customHeight="1">
      <c r="F553" s="43"/>
    </row>
    <row r="554" ht="15.75" customHeight="1">
      <c r="F554" s="43"/>
    </row>
    <row r="555" ht="15.75" customHeight="1">
      <c r="F555" s="43"/>
    </row>
    <row r="556" ht="15.75" customHeight="1">
      <c r="F556" s="43"/>
    </row>
    <row r="557" ht="15.75" customHeight="1">
      <c r="F557" s="43"/>
    </row>
    <row r="558" ht="15.75" customHeight="1">
      <c r="F558" s="43"/>
    </row>
    <row r="559" ht="15.75" customHeight="1">
      <c r="F559" s="43"/>
    </row>
    <row r="560" ht="15.75" customHeight="1">
      <c r="F560" s="43"/>
    </row>
    <row r="561" ht="15.75" customHeight="1">
      <c r="F561" s="43"/>
    </row>
    <row r="562" ht="15.75" customHeight="1">
      <c r="F562" s="43"/>
    </row>
    <row r="563" ht="15.75" customHeight="1">
      <c r="F563" s="43"/>
    </row>
    <row r="564" ht="15.75" customHeight="1">
      <c r="F564" s="43"/>
    </row>
    <row r="565" ht="15.75" customHeight="1">
      <c r="F565" s="43"/>
    </row>
    <row r="566" ht="15.75" customHeight="1">
      <c r="F566" s="43"/>
    </row>
    <row r="567" ht="15.75" customHeight="1">
      <c r="F567" s="43"/>
    </row>
    <row r="568" ht="15.75" customHeight="1">
      <c r="F568" s="43"/>
    </row>
    <row r="569" ht="15.75" customHeight="1">
      <c r="F569" s="43"/>
    </row>
    <row r="570" ht="15.75" customHeight="1">
      <c r="F570" s="43"/>
    </row>
    <row r="571" ht="15.75" customHeight="1">
      <c r="F571" s="43"/>
    </row>
    <row r="572" ht="15.75" customHeight="1">
      <c r="F572" s="43"/>
    </row>
    <row r="573" ht="15.75" customHeight="1">
      <c r="F573" s="43"/>
    </row>
    <row r="574" ht="15.75" customHeight="1">
      <c r="F574" s="43"/>
    </row>
    <row r="575" ht="15.75" customHeight="1">
      <c r="F575" s="43"/>
    </row>
    <row r="576" ht="15.75" customHeight="1">
      <c r="F576" s="43"/>
    </row>
    <row r="577" ht="15.75" customHeight="1">
      <c r="F577" s="43"/>
    </row>
    <row r="578" ht="15.75" customHeight="1">
      <c r="F578" s="43"/>
    </row>
    <row r="579" ht="15.75" customHeight="1">
      <c r="F579" s="43"/>
    </row>
    <row r="580" ht="15.75" customHeight="1">
      <c r="F580" s="43"/>
    </row>
    <row r="581" ht="15.75" customHeight="1">
      <c r="F581" s="43"/>
    </row>
    <row r="582" ht="15.75" customHeight="1">
      <c r="F582" s="43"/>
    </row>
    <row r="583" ht="15.75" customHeight="1">
      <c r="F583" s="43"/>
    </row>
    <row r="584" ht="15.75" customHeight="1">
      <c r="F584" s="43"/>
    </row>
    <row r="585" ht="15.75" customHeight="1">
      <c r="F585" s="43"/>
    </row>
    <row r="586" ht="15.75" customHeight="1">
      <c r="F586" s="43"/>
    </row>
    <row r="587" ht="15.75" customHeight="1">
      <c r="F587" s="43"/>
    </row>
    <row r="588" ht="15.75" customHeight="1">
      <c r="F588" s="43"/>
    </row>
    <row r="589" ht="15.75" customHeight="1">
      <c r="F589" s="43"/>
    </row>
    <row r="590" ht="15.75" customHeight="1">
      <c r="F590" s="43"/>
    </row>
    <row r="591" ht="15.75" customHeight="1">
      <c r="F591" s="43"/>
    </row>
    <row r="592" ht="15.75" customHeight="1">
      <c r="F592" s="43"/>
    </row>
    <row r="593" ht="15.75" customHeight="1">
      <c r="F593" s="43"/>
    </row>
    <row r="594" ht="15.75" customHeight="1">
      <c r="F594" s="43"/>
    </row>
    <row r="595" ht="15.75" customHeight="1">
      <c r="F595" s="43"/>
    </row>
    <row r="596" ht="15.75" customHeight="1">
      <c r="F596" s="43"/>
    </row>
    <row r="597" ht="15.75" customHeight="1">
      <c r="F597" s="43"/>
    </row>
    <row r="598" ht="15.75" customHeight="1">
      <c r="F598" s="43"/>
    </row>
    <row r="599" ht="15.75" customHeight="1">
      <c r="F599" s="43"/>
    </row>
    <row r="600" ht="15.75" customHeight="1">
      <c r="F600" s="43"/>
    </row>
    <row r="601" ht="15.75" customHeight="1">
      <c r="F601" s="43"/>
    </row>
    <row r="602" ht="15.75" customHeight="1">
      <c r="F602" s="43"/>
    </row>
    <row r="603" ht="15.75" customHeight="1">
      <c r="F603" s="43"/>
    </row>
    <row r="604" ht="15.75" customHeight="1">
      <c r="F604" s="43"/>
    </row>
    <row r="605" ht="15.75" customHeight="1">
      <c r="F605" s="43"/>
    </row>
    <row r="606" ht="15.75" customHeight="1">
      <c r="F606" s="43"/>
    </row>
    <row r="607" ht="15.75" customHeight="1">
      <c r="F607" s="43"/>
    </row>
    <row r="608" ht="15.75" customHeight="1">
      <c r="F608" s="43"/>
    </row>
    <row r="609" ht="15.75" customHeight="1">
      <c r="F609" s="43"/>
    </row>
    <row r="610" ht="15.75" customHeight="1">
      <c r="F610" s="43"/>
    </row>
    <row r="611" ht="15.75" customHeight="1">
      <c r="F611" s="43"/>
    </row>
    <row r="612" ht="15.75" customHeight="1">
      <c r="F612" s="43"/>
    </row>
    <row r="613" ht="15.75" customHeight="1">
      <c r="F613" s="43"/>
    </row>
    <row r="614" ht="15.75" customHeight="1">
      <c r="F614" s="43"/>
    </row>
    <row r="615" ht="15.75" customHeight="1">
      <c r="F615" s="43"/>
    </row>
    <row r="616" ht="15.75" customHeight="1">
      <c r="F616" s="43"/>
    </row>
    <row r="617" ht="15.75" customHeight="1">
      <c r="F617" s="43"/>
    </row>
    <row r="618" ht="15.75" customHeight="1">
      <c r="F618" s="43"/>
    </row>
    <row r="619" ht="15.75" customHeight="1">
      <c r="F619" s="43"/>
    </row>
    <row r="620" ht="15.75" customHeight="1">
      <c r="F620" s="43"/>
    </row>
    <row r="621" ht="15.75" customHeight="1">
      <c r="F621" s="43"/>
    </row>
    <row r="622" ht="15.75" customHeight="1">
      <c r="F622" s="43"/>
    </row>
    <row r="623" ht="15.75" customHeight="1">
      <c r="F623" s="43"/>
    </row>
    <row r="624" ht="15.75" customHeight="1">
      <c r="F624" s="43"/>
    </row>
    <row r="625" ht="15.75" customHeight="1">
      <c r="F625" s="43"/>
    </row>
    <row r="626" ht="15.75" customHeight="1">
      <c r="F626" s="43"/>
    </row>
    <row r="627" ht="15.75" customHeight="1">
      <c r="F627" s="43"/>
    </row>
    <row r="628" ht="15.75" customHeight="1">
      <c r="F628" s="43"/>
    </row>
    <row r="629" ht="15.75" customHeight="1">
      <c r="F629" s="43"/>
    </row>
    <row r="630" ht="15.75" customHeight="1">
      <c r="F630" s="43"/>
    </row>
    <row r="631" ht="15.75" customHeight="1">
      <c r="F631" s="43"/>
    </row>
    <row r="632" ht="15.75" customHeight="1">
      <c r="F632" s="43"/>
    </row>
    <row r="633" ht="15.75" customHeight="1">
      <c r="F633" s="43"/>
    </row>
    <row r="634" ht="15.75" customHeight="1">
      <c r="F634" s="43"/>
    </row>
    <row r="635" ht="15.75" customHeight="1">
      <c r="F635" s="43"/>
    </row>
    <row r="636" ht="15.75" customHeight="1">
      <c r="F636" s="43"/>
    </row>
    <row r="637" ht="15.75" customHeight="1">
      <c r="F637" s="43"/>
    </row>
    <row r="638" ht="15.75" customHeight="1">
      <c r="F638" s="43"/>
    </row>
    <row r="639" ht="15.75" customHeight="1">
      <c r="F639" s="43"/>
    </row>
    <row r="640" ht="15.75" customHeight="1">
      <c r="F640" s="43"/>
    </row>
    <row r="641" ht="15.75" customHeight="1">
      <c r="F641" s="43"/>
    </row>
    <row r="642" ht="15.75" customHeight="1">
      <c r="F642" s="43"/>
    </row>
    <row r="643" ht="15.75" customHeight="1">
      <c r="F643" s="43"/>
    </row>
    <row r="644" ht="15.75" customHeight="1">
      <c r="F644" s="43"/>
    </row>
    <row r="645" ht="15.75" customHeight="1">
      <c r="F645" s="43"/>
    </row>
    <row r="646" ht="15.75" customHeight="1">
      <c r="F646" s="43"/>
    </row>
    <row r="647" ht="15.75" customHeight="1">
      <c r="F647" s="43"/>
    </row>
    <row r="648" ht="15.75" customHeight="1">
      <c r="F648" s="43"/>
    </row>
    <row r="649" ht="15.75" customHeight="1">
      <c r="F649" s="43"/>
    </row>
    <row r="650" ht="15.75" customHeight="1">
      <c r="F650" s="43"/>
    </row>
    <row r="651" ht="15.75" customHeight="1">
      <c r="F651" s="43"/>
    </row>
    <row r="652" ht="15.75" customHeight="1">
      <c r="F652" s="43"/>
    </row>
    <row r="653" ht="15.75" customHeight="1">
      <c r="F653" s="43"/>
    </row>
    <row r="654" ht="15.75" customHeight="1">
      <c r="F654" s="43"/>
    </row>
    <row r="655" ht="15.75" customHeight="1">
      <c r="F655" s="43"/>
    </row>
    <row r="656" ht="15.75" customHeight="1">
      <c r="F656" s="43"/>
    </row>
    <row r="657" ht="15.75" customHeight="1">
      <c r="F657" s="43"/>
    </row>
    <row r="658" ht="15.75" customHeight="1">
      <c r="F658" s="43"/>
    </row>
    <row r="659" ht="15.75" customHeight="1">
      <c r="F659" s="43"/>
    </row>
    <row r="660" ht="15.75" customHeight="1">
      <c r="F660" s="43"/>
    </row>
    <row r="661" ht="15.75" customHeight="1">
      <c r="F661" s="43"/>
    </row>
    <row r="662" ht="15.75" customHeight="1">
      <c r="F662" s="43"/>
    </row>
    <row r="663" ht="15.75" customHeight="1">
      <c r="F663" s="43"/>
    </row>
    <row r="664" ht="15.75" customHeight="1">
      <c r="F664" s="43"/>
    </row>
    <row r="665" ht="15.75" customHeight="1">
      <c r="F665" s="43"/>
    </row>
    <row r="666" ht="15.75" customHeight="1">
      <c r="F666" s="43"/>
    </row>
    <row r="667" ht="15.75" customHeight="1">
      <c r="F667" s="43"/>
    </row>
    <row r="668" ht="15.75" customHeight="1">
      <c r="F668" s="43"/>
    </row>
    <row r="669" ht="15.75" customHeight="1">
      <c r="F669" s="43"/>
    </row>
    <row r="670" ht="15.75" customHeight="1">
      <c r="F670" s="43"/>
    </row>
    <row r="671" ht="15.75" customHeight="1">
      <c r="F671" s="43"/>
    </row>
    <row r="672" ht="15.75" customHeight="1">
      <c r="F672" s="43"/>
    </row>
    <row r="673" ht="15.75" customHeight="1">
      <c r="F673" s="43"/>
    </row>
    <row r="674" ht="15.75" customHeight="1">
      <c r="F674" s="43"/>
    </row>
    <row r="675" ht="15.75" customHeight="1">
      <c r="F675" s="43"/>
    </row>
    <row r="676" ht="15.75" customHeight="1">
      <c r="F676" s="43"/>
    </row>
    <row r="677" ht="15.75" customHeight="1">
      <c r="F677" s="43"/>
    </row>
    <row r="678" ht="15.75" customHeight="1">
      <c r="F678" s="43"/>
    </row>
    <row r="679" ht="15.75" customHeight="1">
      <c r="F679" s="43"/>
    </row>
    <row r="680" ht="15.75" customHeight="1">
      <c r="F680" s="43"/>
    </row>
    <row r="681" ht="15.75" customHeight="1">
      <c r="F681" s="43"/>
    </row>
    <row r="682" ht="15.75" customHeight="1">
      <c r="F682" s="43"/>
    </row>
    <row r="683" ht="15.75" customHeight="1">
      <c r="F683" s="43"/>
    </row>
    <row r="684" ht="15.75" customHeight="1">
      <c r="F684" s="43"/>
    </row>
    <row r="685" ht="15.75" customHeight="1">
      <c r="F685" s="43"/>
    </row>
    <row r="686" ht="15.75" customHeight="1">
      <c r="F686" s="43"/>
    </row>
    <row r="687" ht="15.75" customHeight="1">
      <c r="F687" s="43"/>
    </row>
    <row r="688" ht="15.75" customHeight="1">
      <c r="F688" s="43"/>
    </row>
    <row r="689" ht="15.75" customHeight="1">
      <c r="F689" s="43"/>
    </row>
    <row r="690" ht="15.75" customHeight="1">
      <c r="F690" s="43"/>
    </row>
    <row r="691" ht="15.75" customHeight="1">
      <c r="F691" s="43"/>
    </row>
    <row r="692" ht="15.75" customHeight="1">
      <c r="F692" s="43"/>
    </row>
    <row r="693" ht="15.75" customHeight="1">
      <c r="F693" s="43"/>
    </row>
    <row r="694" ht="15.75" customHeight="1">
      <c r="F694" s="43"/>
    </row>
    <row r="695" ht="15.75" customHeight="1">
      <c r="F695" s="43"/>
    </row>
    <row r="696" ht="15.75" customHeight="1">
      <c r="F696" s="43"/>
    </row>
    <row r="697" ht="15.75" customHeight="1">
      <c r="F697" s="43"/>
    </row>
    <row r="698" ht="15.75" customHeight="1">
      <c r="F698" s="43"/>
    </row>
    <row r="699" ht="15.75" customHeight="1">
      <c r="F699" s="43"/>
    </row>
    <row r="700" ht="15.75" customHeight="1">
      <c r="F700" s="43"/>
    </row>
    <row r="701" ht="15.75" customHeight="1">
      <c r="F701" s="43"/>
    </row>
    <row r="702" ht="15.75" customHeight="1">
      <c r="F702" s="43"/>
    </row>
    <row r="703" ht="15.75" customHeight="1">
      <c r="F703" s="43"/>
    </row>
    <row r="704" ht="15.75" customHeight="1">
      <c r="F704" s="43"/>
    </row>
    <row r="705" ht="15.75" customHeight="1">
      <c r="F705" s="43"/>
    </row>
    <row r="706" ht="15.75" customHeight="1">
      <c r="F706" s="43"/>
    </row>
    <row r="707" ht="15.75" customHeight="1">
      <c r="F707" s="43"/>
    </row>
    <row r="708" ht="15.75" customHeight="1">
      <c r="F708" s="43"/>
    </row>
    <row r="709" ht="15.75" customHeight="1">
      <c r="F709" s="43"/>
    </row>
    <row r="710" ht="15.75" customHeight="1">
      <c r="F710" s="43"/>
    </row>
    <row r="711" ht="15.75" customHeight="1">
      <c r="F711" s="43"/>
    </row>
    <row r="712" ht="15.75" customHeight="1">
      <c r="F712" s="43"/>
    </row>
    <row r="713" ht="15.75" customHeight="1">
      <c r="F713" s="43"/>
    </row>
    <row r="714" ht="15.75" customHeight="1">
      <c r="F714" s="43"/>
    </row>
    <row r="715" ht="15.75" customHeight="1">
      <c r="F715" s="43"/>
    </row>
    <row r="716" ht="15.75" customHeight="1">
      <c r="F716" s="43"/>
    </row>
    <row r="717" ht="15.75" customHeight="1">
      <c r="F717" s="43"/>
    </row>
    <row r="718" ht="15.75" customHeight="1">
      <c r="F718" s="43"/>
    </row>
    <row r="719" ht="15.75" customHeight="1">
      <c r="F719" s="43"/>
    </row>
    <row r="720" ht="15.75" customHeight="1">
      <c r="F720" s="43"/>
    </row>
    <row r="721" ht="15.75" customHeight="1">
      <c r="F721" s="43"/>
    </row>
    <row r="722" ht="15.75" customHeight="1">
      <c r="F722" s="43"/>
    </row>
    <row r="723" ht="15.75" customHeight="1">
      <c r="F723" s="43"/>
    </row>
    <row r="724" ht="15.75" customHeight="1">
      <c r="F724" s="43"/>
    </row>
    <row r="725" ht="15.75" customHeight="1">
      <c r="F725" s="43"/>
    </row>
    <row r="726" ht="15.75" customHeight="1">
      <c r="F726" s="43"/>
    </row>
    <row r="727" ht="15.75" customHeight="1">
      <c r="F727" s="43"/>
    </row>
    <row r="728" ht="15.75" customHeight="1">
      <c r="F728" s="43"/>
    </row>
    <row r="729" ht="15.75" customHeight="1">
      <c r="F729" s="43"/>
    </row>
    <row r="730" ht="15.75" customHeight="1">
      <c r="F730" s="43"/>
    </row>
    <row r="731" ht="15.75" customHeight="1">
      <c r="F731" s="43"/>
    </row>
    <row r="732" ht="15.75" customHeight="1">
      <c r="F732" s="43"/>
    </row>
    <row r="733" ht="15.75" customHeight="1">
      <c r="F733" s="43"/>
    </row>
    <row r="734" ht="15.75" customHeight="1">
      <c r="F734" s="43"/>
    </row>
    <row r="735" ht="15.75" customHeight="1">
      <c r="F735" s="43"/>
    </row>
    <row r="736" ht="15.75" customHeight="1">
      <c r="F736" s="43"/>
    </row>
    <row r="737" ht="15.75" customHeight="1">
      <c r="F737" s="43"/>
    </row>
    <row r="738" ht="15.75" customHeight="1">
      <c r="F738" s="43"/>
    </row>
    <row r="739" ht="15.75" customHeight="1">
      <c r="F739" s="43"/>
    </row>
    <row r="740" ht="15.75" customHeight="1">
      <c r="F740" s="43"/>
    </row>
    <row r="741" ht="15.75" customHeight="1">
      <c r="F741" s="43"/>
    </row>
    <row r="742" ht="15.75" customHeight="1">
      <c r="F742" s="43"/>
    </row>
    <row r="743" ht="15.75" customHeight="1">
      <c r="F743" s="43"/>
    </row>
    <row r="744" ht="15.75" customHeight="1">
      <c r="F744" s="43"/>
    </row>
    <row r="745" ht="15.75" customHeight="1">
      <c r="F745" s="43"/>
    </row>
    <row r="746" ht="15.75" customHeight="1">
      <c r="F746" s="43"/>
    </row>
    <row r="747" ht="15.75" customHeight="1">
      <c r="F747" s="43"/>
    </row>
    <row r="748" ht="15.75" customHeight="1">
      <c r="F748" s="43"/>
    </row>
    <row r="749" ht="15.75" customHeight="1">
      <c r="F749" s="43"/>
    </row>
    <row r="750" ht="15.75" customHeight="1">
      <c r="F750" s="43"/>
    </row>
    <row r="751" ht="15.75" customHeight="1">
      <c r="F751" s="43"/>
    </row>
    <row r="752" ht="15.75" customHeight="1">
      <c r="F752" s="43"/>
    </row>
    <row r="753" ht="15.75" customHeight="1">
      <c r="F753" s="43"/>
    </row>
    <row r="754" ht="15.75" customHeight="1">
      <c r="F754" s="43"/>
    </row>
    <row r="755" ht="15.75" customHeight="1">
      <c r="F755" s="43"/>
    </row>
    <row r="756" ht="15.75" customHeight="1">
      <c r="F756" s="43"/>
    </row>
    <row r="757" ht="15.75" customHeight="1">
      <c r="F757" s="43"/>
    </row>
    <row r="758" ht="15.75" customHeight="1">
      <c r="F758" s="43"/>
    </row>
    <row r="759" ht="15.75" customHeight="1">
      <c r="F759" s="43"/>
    </row>
    <row r="760" ht="15.75" customHeight="1">
      <c r="F760" s="43"/>
    </row>
    <row r="761" ht="15.75" customHeight="1">
      <c r="F761" s="43"/>
    </row>
    <row r="762" ht="15.75" customHeight="1">
      <c r="F762" s="43"/>
    </row>
    <row r="763" ht="15.75" customHeight="1">
      <c r="F763" s="43"/>
    </row>
    <row r="764" ht="15.75" customHeight="1">
      <c r="F764" s="43"/>
    </row>
    <row r="765" ht="15.75" customHeight="1">
      <c r="F765" s="43"/>
    </row>
    <row r="766" ht="15.75" customHeight="1">
      <c r="F766" s="43"/>
    </row>
    <row r="767" ht="15.75" customHeight="1">
      <c r="F767" s="43"/>
    </row>
    <row r="768" ht="15.75" customHeight="1">
      <c r="F768" s="43"/>
    </row>
    <row r="769" ht="15.75" customHeight="1">
      <c r="F769" s="43"/>
    </row>
    <row r="770" ht="15.75" customHeight="1">
      <c r="F770" s="43"/>
    </row>
    <row r="771" ht="15.75" customHeight="1">
      <c r="F771" s="43"/>
    </row>
    <row r="772" ht="15.75" customHeight="1">
      <c r="F772" s="43"/>
    </row>
    <row r="773" ht="15.75" customHeight="1">
      <c r="F773" s="43"/>
    </row>
    <row r="774" ht="15.75" customHeight="1">
      <c r="F774" s="43"/>
    </row>
    <row r="775" ht="15.75" customHeight="1">
      <c r="F775" s="43"/>
    </row>
    <row r="776" ht="15.75" customHeight="1">
      <c r="F776" s="43"/>
    </row>
    <row r="777" ht="15.75" customHeight="1">
      <c r="F777" s="43"/>
    </row>
    <row r="778" ht="15.75" customHeight="1">
      <c r="F778" s="43"/>
    </row>
    <row r="779" ht="15.75" customHeight="1">
      <c r="F779" s="43"/>
    </row>
    <row r="780" ht="15.75" customHeight="1">
      <c r="F780" s="43"/>
    </row>
    <row r="781" ht="15.75" customHeight="1">
      <c r="F781" s="43"/>
    </row>
    <row r="782" ht="15.75" customHeight="1">
      <c r="F782" s="43"/>
    </row>
    <row r="783" ht="15.75" customHeight="1">
      <c r="F783" s="43"/>
    </row>
    <row r="784" ht="15.75" customHeight="1">
      <c r="F784" s="43"/>
    </row>
    <row r="785" ht="15.75" customHeight="1">
      <c r="F785" s="43"/>
    </row>
    <row r="786" ht="15.75" customHeight="1">
      <c r="F786" s="43"/>
    </row>
    <row r="787" ht="15.75" customHeight="1">
      <c r="F787" s="43"/>
    </row>
    <row r="788" ht="15.75" customHeight="1">
      <c r="F788" s="43"/>
    </row>
    <row r="789" ht="15.75" customHeight="1">
      <c r="F789" s="43"/>
    </row>
    <row r="790" ht="15.75" customHeight="1">
      <c r="F790" s="43"/>
    </row>
    <row r="791" ht="15.75" customHeight="1">
      <c r="F791" s="43"/>
    </row>
    <row r="792" ht="15.75" customHeight="1">
      <c r="F792" s="43"/>
    </row>
    <row r="793" ht="15.75" customHeight="1">
      <c r="F793" s="43"/>
    </row>
    <row r="794" ht="15.75" customHeight="1">
      <c r="F794" s="43"/>
    </row>
    <row r="795" ht="15.75" customHeight="1">
      <c r="F795" s="43"/>
    </row>
    <row r="796" ht="15.75" customHeight="1">
      <c r="F796" s="43"/>
    </row>
    <row r="797" ht="15.75" customHeight="1">
      <c r="F797" s="43"/>
    </row>
    <row r="798" ht="15.75" customHeight="1">
      <c r="F798" s="43"/>
    </row>
    <row r="799" ht="15.75" customHeight="1">
      <c r="F799" s="43"/>
    </row>
    <row r="800" ht="15.75" customHeight="1">
      <c r="F800" s="43"/>
    </row>
    <row r="801" ht="15.75" customHeight="1">
      <c r="F801" s="43"/>
    </row>
    <row r="802" ht="15.75" customHeight="1">
      <c r="F802" s="43"/>
    </row>
    <row r="803" ht="15.75" customHeight="1">
      <c r="F803" s="43"/>
    </row>
    <row r="804" ht="15.75" customHeight="1">
      <c r="F804" s="43"/>
    </row>
    <row r="805" ht="15.75" customHeight="1">
      <c r="F805" s="43"/>
    </row>
    <row r="806" ht="15.75" customHeight="1">
      <c r="F806" s="43"/>
    </row>
    <row r="807" ht="15.75" customHeight="1">
      <c r="F807" s="43"/>
    </row>
    <row r="808" ht="15.75" customHeight="1">
      <c r="F808" s="43"/>
    </row>
    <row r="809" ht="15.75" customHeight="1">
      <c r="F809" s="43"/>
    </row>
    <row r="810" ht="15.75" customHeight="1">
      <c r="F810" s="43"/>
    </row>
    <row r="811" ht="15.75" customHeight="1">
      <c r="F811" s="43"/>
    </row>
    <row r="812" ht="15.75" customHeight="1">
      <c r="F812" s="43"/>
    </row>
    <row r="813" ht="15.75" customHeight="1">
      <c r="F813" s="43"/>
    </row>
    <row r="814" ht="15.75" customHeight="1">
      <c r="F814" s="43"/>
    </row>
    <row r="815" ht="15.75" customHeight="1">
      <c r="F815" s="43"/>
    </row>
    <row r="816" ht="15.75" customHeight="1">
      <c r="F816" s="43"/>
    </row>
    <row r="817" ht="15.75" customHeight="1">
      <c r="F817" s="43"/>
    </row>
    <row r="818" ht="15.75" customHeight="1">
      <c r="F818" s="43"/>
    </row>
    <row r="819" ht="15.75" customHeight="1">
      <c r="F819" s="43"/>
    </row>
    <row r="820" ht="15.75" customHeight="1">
      <c r="F820" s="43"/>
    </row>
    <row r="821" ht="15.75" customHeight="1">
      <c r="F821" s="43"/>
    </row>
    <row r="822" ht="15.75" customHeight="1">
      <c r="F822" s="43"/>
    </row>
    <row r="823" ht="15.75" customHeight="1">
      <c r="F823" s="43"/>
    </row>
    <row r="824" ht="15.75" customHeight="1">
      <c r="F824" s="43"/>
    </row>
    <row r="825" ht="15.75" customHeight="1">
      <c r="F825" s="43"/>
    </row>
    <row r="826" ht="15.75" customHeight="1">
      <c r="F826" s="43"/>
    </row>
    <row r="827" ht="15.75" customHeight="1">
      <c r="F827" s="43"/>
    </row>
    <row r="828" ht="15.75" customHeight="1">
      <c r="F828" s="43"/>
    </row>
    <row r="829" ht="15.75" customHeight="1">
      <c r="F829" s="43"/>
    </row>
    <row r="830" ht="15.75" customHeight="1">
      <c r="F830" s="43"/>
    </row>
    <row r="831" ht="15.75" customHeight="1">
      <c r="F831" s="43"/>
    </row>
    <row r="832" ht="15.75" customHeight="1">
      <c r="F832" s="43"/>
    </row>
    <row r="833" ht="15.75" customHeight="1">
      <c r="F833" s="43"/>
    </row>
    <row r="834" ht="15.75" customHeight="1">
      <c r="F834" s="43"/>
    </row>
    <row r="835" ht="15.75" customHeight="1">
      <c r="F835" s="43"/>
    </row>
    <row r="836" ht="15.75" customHeight="1">
      <c r="F836" s="43"/>
    </row>
    <row r="837" ht="15.75" customHeight="1">
      <c r="F837" s="43"/>
    </row>
    <row r="838" ht="15.75" customHeight="1">
      <c r="F838" s="43"/>
    </row>
    <row r="839" ht="15.75" customHeight="1">
      <c r="F839" s="43"/>
    </row>
    <row r="840" ht="15.75" customHeight="1">
      <c r="F840" s="43"/>
    </row>
    <row r="841" ht="15.75" customHeight="1">
      <c r="F841" s="43"/>
    </row>
    <row r="842" ht="15.75" customHeight="1">
      <c r="F842" s="43"/>
    </row>
    <row r="843" ht="15.75" customHeight="1">
      <c r="F843" s="43"/>
    </row>
    <row r="844" ht="15.75" customHeight="1">
      <c r="F844" s="43"/>
    </row>
    <row r="845" ht="15.75" customHeight="1">
      <c r="F845" s="43"/>
    </row>
    <row r="846" ht="15.75" customHeight="1">
      <c r="F846" s="43"/>
    </row>
    <row r="847" ht="15.75" customHeight="1">
      <c r="F847" s="43"/>
    </row>
    <row r="848" ht="15.75" customHeight="1">
      <c r="F848" s="43"/>
    </row>
    <row r="849" ht="15.75" customHeight="1">
      <c r="F849" s="43"/>
    </row>
    <row r="850" ht="15.75" customHeight="1">
      <c r="F850" s="43"/>
    </row>
    <row r="851" ht="15.75" customHeight="1">
      <c r="F851" s="43"/>
    </row>
    <row r="852" ht="15.75" customHeight="1">
      <c r="F852" s="43"/>
    </row>
    <row r="853" ht="15.75" customHeight="1">
      <c r="F853" s="43"/>
    </row>
    <row r="854" ht="15.75" customHeight="1">
      <c r="F854" s="43"/>
    </row>
    <row r="855" ht="15.75" customHeight="1">
      <c r="F855" s="43"/>
    </row>
    <row r="856" ht="15.75" customHeight="1">
      <c r="F856" s="43"/>
    </row>
    <row r="857" ht="15.75" customHeight="1">
      <c r="F857" s="43"/>
    </row>
    <row r="858" ht="15.75" customHeight="1">
      <c r="F858" s="43"/>
    </row>
    <row r="859" ht="15.75" customHeight="1">
      <c r="F859" s="43"/>
    </row>
    <row r="860" ht="15.75" customHeight="1">
      <c r="F860" s="43"/>
    </row>
    <row r="861" ht="15.75" customHeight="1">
      <c r="F861" s="43"/>
    </row>
    <row r="862" ht="15.75" customHeight="1">
      <c r="F862" s="43"/>
    </row>
    <row r="863" ht="15.75" customHeight="1">
      <c r="F863" s="43"/>
    </row>
    <row r="864" ht="15.75" customHeight="1">
      <c r="F864" s="43"/>
    </row>
    <row r="865" ht="15.75" customHeight="1">
      <c r="F865" s="43"/>
    </row>
    <row r="866" ht="15.75" customHeight="1">
      <c r="F866" s="43"/>
    </row>
    <row r="867" ht="15.75" customHeight="1">
      <c r="F867" s="43"/>
    </row>
    <row r="868" ht="15.75" customHeight="1">
      <c r="F868" s="43"/>
    </row>
    <row r="869" ht="15.75" customHeight="1">
      <c r="F869" s="43"/>
    </row>
    <row r="870" ht="15.75" customHeight="1">
      <c r="F870" s="43"/>
    </row>
    <row r="871" ht="15.75" customHeight="1">
      <c r="F871" s="43"/>
    </row>
    <row r="872" ht="15.75" customHeight="1">
      <c r="F872" s="43"/>
    </row>
    <row r="873" ht="15.75" customHeight="1">
      <c r="F873" s="43"/>
    </row>
    <row r="874" ht="15.75" customHeight="1">
      <c r="F874" s="43"/>
    </row>
    <row r="875" ht="15.75" customHeight="1">
      <c r="F875" s="43"/>
    </row>
    <row r="876" ht="15.75" customHeight="1">
      <c r="F876" s="43"/>
    </row>
    <row r="877" ht="15.75" customHeight="1">
      <c r="F877" s="43"/>
    </row>
    <row r="878" ht="15.75" customHeight="1">
      <c r="F878" s="43"/>
    </row>
    <row r="879" ht="15.75" customHeight="1">
      <c r="F879" s="43"/>
    </row>
    <row r="880" ht="15.75" customHeight="1">
      <c r="F880" s="43"/>
    </row>
    <row r="881" ht="15.75" customHeight="1">
      <c r="F881" s="43"/>
    </row>
    <row r="882" ht="15.75" customHeight="1">
      <c r="F882" s="43"/>
    </row>
    <row r="883" ht="15.75" customHeight="1">
      <c r="F883" s="43"/>
    </row>
    <row r="884" ht="15.75" customHeight="1">
      <c r="F884" s="43"/>
    </row>
    <row r="885" ht="15.75" customHeight="1">
      <c r="F885" s="43"/>
    </row>
    <row r="886" ht="15.75" customHeight="1">
      <c r="F886" s="43"/>
    </row>
    <row r="887" ht="15.75" customHeight="1">
      <c r="F887" s="43"/>
    </row>
    <row r="888" ht="15.75" customHeight="1">
      <c r="F888" s="43"/>
    </row>
    <row r="889" ht="15.75" customHeight="1">
      <c r="F889" s="43"/>
    </row>
    <row r="890" ht="15.75" customHeight="1">
      <c r="F890" s="43"/>
    </row>
    <row r="891" ht="15.75" customHeight="1">
      <c r="F891" s="43"/>
    </row>
    <row r="892" ht="15.75" customHeight="1">
      <c r="F892" s="43"/>
    </row>
    <row r="893" ht="15.75" customHeight="1">
      <c r="F893" s="43"/>
    </row>
    <row r="894" ht="15.75" customHeight="1">
      <c r="F894" s="43"/>
    </row>
    <row r="895" ht="15.75" customHeight="1">
      <c r="F895" s="43"/>
    </row>
    <row r="896" ht="15.75" customHeight="1">
      <c r="F896" s="43"/>
    </row>
    <row r="897" ht="15.75" customHeight="1">
      <c r="F897" s="43"/>
    </row>
    <row r="898" ht="15.75" customHeight="1">
      <c r="F898" s="43"/>
    </row>
    <row r="899" ht="15.75" customHeight="1">
      <c r="F899" s="43"/>
    </row>
    <row r="900" ht="15.75" customHeight="1">
      <c r="F900" s="43"/>
    </row>
    <row r="901" ht="15.75" customHeight="1">
      <c r="F901" s="43"/>
    </row>
    <row r="902" ht="15.75" customHeight="1">
      <c r="F902" s="43"/>
    </row>
    <row r="903" ht="15.75" customHeight="1">
      <c r="F903" s="43"/>
    </row>
    <row r="904" ht="15.75" customHeight="1">
      <c r="F904" s="43"/>
    </row>
    <row r="905" ht="15.75" customHeight="1">
      <c r="F905" s="43"/>
    </row>
    <row r="906" ht="15.75" customHeight="1">
      <c r="F906" s="43"/>
    </row>
    <row r="907" ht="15.75" customHeight="1">
      <c r="F907" s="43"/>
    </row>
    <row r="908" ht="15.75" customHeight="1">
      <c r="F908" s="43"/>
    </row>
    <row r="909" ht="15.75" customHeight="1">
      <c r="F909" s="43"/>
    </row>
    <row r="910" ht="15.75" customHeight="1">
      <c r="F910" s="43"/>
    </row>
    <row r="911" ht="15.75" customHeight="1">
      <c r="F911" s="43"/>
    </row>
    <row r="912" ht="15.75" customHeight="1">
      <c r="F912" s="43"/>
    </row>
    <row r="913" ht="15.75" customHeight="1">
      <c r="F913" s="43"/>
    </row>
    <row r="914" ht="15.75" customHeight="1">
      <c r="F914" s="43"/>
    </row>
    <row r="915" ht="15.75" customHeight="1">
      <c r="F915" s="43"/>
    </row>
    <row r="916" ht="15.75" customHeight="1">
      <c r="F916" s="43"/>
    </row>
    <row r="917" ht="15.75" customHeight="1">
      <c r="F917" s="43"/>
    </row>
    <row r="918" ht="15.75" customHeight="1">
      <c r="F918" s="43"/>
    </row>
    <row r="919" ht="15.75" customHeight="1">
      <c r="F919" s="43"/>
    </row>
    <row r="920" ht="15.75" customHeight="1">
      <c r="F920" s="43"/>
    </row>
    <row r="921" ht="15.75" customHeight="1">
      <c r="F921" s="43"/>
    </row>
    <row r="922" ht="15.75" customHeight="1">
      <c r="F922" s="43"/>
    </row>
    <row r="923" ht="15.75" customHeight="1">
      <c r="F923" s="43"/>
    </row>
    <row r="924" ht="15.75" customHeight="1">
      <c r="F924" s="43"/>
    </row>
    <row r="925" ht="15.75" customHeight="1">
      <c r="F925" s="43"/>
    </row>
    <row r="926" ht="15.75" customHeight="1">
      <c r="F926" s="43"/>
    </row>
    <row r="927" ht="15.75" customHeight="1">
      <c r="F927" s="43"/>
    </row>
    <row r="928" ht="15.75" customHeight="1">
      <c r="F928" s="43"/>
    </row>
    <row r="929" ht="15.75" customHeight="1">
      <c r="F929" s="43"/>
    </row>
    <row r="930" ht="15.75" customHeight="1">
      <c r="F930" s="43"/>
    </row>
    <row r="931" ht="15.75" customHeight="1">
      <c r="F931" s="43"/>
    </row>
    <row r="932" ht="15.75" customHeight="1">
      <c r="F932" s="43"/>
    </row>
    <row r="933" ht="15.75" customHeight="1">
      <c r="F933" s="43"/>
    </row>
    <row r="934" ht="15.75" customHeight="1">
      <c r="F934" s="43"/>
    </row>
    <row r="935" ht="15.75" customHeight="1">
      <c r="F935" s="43"/>
    </row>
    <row r="936" ht="15.75" customHeight="1">
      <c r="F936" s="43"/>
    </row>
    <row r="937" ht="15.75" customHeight="1">
      <c r="F937" s="43"/>
    </row>
    <row r="938" ht="15.75" customHeight="1">
      <c r="F938" s="43"/>
    </row>
    <row r="939" ht="15.75" customHeight="1">
      <c r="F939" s="43"/>
    </row>
    <row r="940" ht="15.75" customHeight="1">
      <c r="F940" s="43"/>
    </row>
    <row r="941" ht="15.75" customHeight="1">
      <c r="F941" s="43"/>
    </row>
    <row r="942" ht="15.75" customHeight="1">
      <c r="F942" s="43"/>
    </row>
    <row r="943" ht="15.75" customHeight="1">
      <c r="F943" s="43"/>
    </row>
    <row r="944" ht="15.75" customHeight="1">
      <c r="F944" s="43"/>
    </row>
    <row r="945" ht="15.75" customHeight="1">
      <c r="F945" s="43"/>
    </row>
    <row r="946" ht="15.75" customHeight="1">
      <c r="F946" s="43"/>
    </row>
    <row r="947" ht="15.75" customHeight="1">
      <c r="F947" s="43"/>
    </row>
    <row r="948" ht="15.75" customHeight="1">
      <c r="F948" s="43"/>
    </row>
    <row r="949" ht="15.75" customHeight="1">
      <c r="F949" s="43"/>
    </row>
    <row r="950" ht="15.75" customHeight="1">
      <c r="F950" s="43"/>
    </row>
    <row r="951" ht="15.75" customHeight="1">
      <c r="F951" s="43"/>
    </row>
    <row r="952" ht="15.75" customHeight="1">
      <c r="F952" s="43"/>
    </row>
    <row r="953" ht="15.75" customHeight="1">
      <c r="F953" s="43"/>
    </row>
    <row r="954" ht="15.75" customHeight="1">
      <c r="F954" s="43"/>
    </row>
    <row r="955" ht="15.75" customHeight="1">
      <c r="F955" s="43"/>
    </row>
    <row r="956" ht="15.75" customHeight="1">
      <c r="F956" s="43"/>
    </row>
    <row r="957" ht="15.75" customHeight="1">
      <c r="F957" s="43"/>
    </row>
    <row r="958" ht="15.75" customHeight="1">
      <c r="F958" s="43"/>
    </row>
    <row r="959" ht="15.75" customHeight="1">
      <c r="F959" s="43"/>
    </row>
    <row r="960" ht="15.75" customHeight="1">
      <c r="F960" s="43"/>
    </row>
    <row r="961" ht="15.75" customHeight="1">
      <c r="F961" s="43"/>
    </row>
    <row r="962" ht="15.75" customHeight="1">
      <c r="F962" s="43"/>
    </row>
    <row r="963" ht="15.75" customHeight="1">
      <c r="F963" s="43"/>
    </row>
    <row r="964" ht="15.75" customHeight="1">
      <c r="F964" s="43"/>
    </row>
    <row r="965" ht="15.75" customHeight="1">
      <c r="F965" s="43"/>
    </row>
    <row r="966" ht="15.75" customHeight="1">
      <c r="F966" s="43"/>
    </row>
    <row r="967" ht="15.75" customHeight="1">
      <c r="F967" s="43"/>
    </row>
    <row r="968" ht="15.75" customHeight="1">
      <c r="F968" s="43"/>
    </row>
    <row r="969" ht="15.75" customHeight="1">
      <c r="F969" s="43"/>
    </row>
    <row r="970" ht="15.75" customHeight="1">
      <c r="F970" s="43"/>
    </row>
    <row r="971" ht="15.75" customHeight="1">
      <c r="F971" s="43"/>
    </row>
    <row r="972" ht="15.75" customHeight="1">
      <c r="F972" s="43"/>
    </row>
    <row r="973" ht="15.75" customHeight="1">
      <c r="F973" s="43"/>
    </row>
    <row r="974" ht="15.75" customHeight="1">
      <c r="F974" s="43"/>
    </row>
    <row r="975" ht="15.75" customHeight="1">
      <c r="F975" s="43"/>
    </row>
    <row r="976" ht="15.75" customHeight="1">
      <c r="F976" s="43"/>
    </row>
    <row r="977" ht="15.75" customHeight="1">
      <c r="F977" s="43"/>
    </row>
    <row r="978" ht="15.75" customHeight="1">
      <c r="F978" s="43"/>
    </row>
    <row r="979" ht="15.75" customHeight="1">
      <c r="F979" s="43"/>
    </row>
    <row r="980" ht="15.75" customHeight="1">
      <c r="F980" s="43"/>
    </row>
    <row r="981" ht="15.75" customHeight="1">
      <c r="F981" s="43"/>
    </row>
    <row r="982" ht="15.75" customHeight="1">
      <c r="F982" s="43"/>
    </row>
    <row r="983" ht="15.75" customHeight="1">
      <c r="F983" s="43"/>
    </row>
    <row r="984" ht="15.75" customHeight="1">
      <c r="F984" s="43"/>
    </row>
    <row r="985" ht="15.75" customHeight="1">
      <c r="F985" s="43"/>
    </row>
    <row r="986" ht="15.75" customHeight="1">
      <c r="F986" s="43"/>
    </row>
    <row r="987" ht="15.75" customHeight="1">
      <c r="F987" s="43"/>
    </row>
    <row r="988" ht="15.75" customHeight="1">
      <c r="F988" s="43"/>
    </row>
    <row r="989" ht="15.75" customHeight="1">
      <c r="F989" s="43"/>
    </row>
    <row r="990" ht="15.75" customHeight="1">
      <c r="F990" s="43"/>
    </row>
    <row r="991" ht="15.75" customHeight="1">
      <c r="F991" s="43"/>
    </row>
    <row r="992" ht="15.75" customHeight="1">
      <c r="F992" s="43"/>
    </row>
    <row r="993" ht="15.75" customHeight="1">
      <c r="F993" s="43"/>
    </row>
    <row r="994" ht="15.75" customHeight="1">
      <c r="F994" s="43"/>
    </row>
    <row r="995" ht="15.75" customHeight="1">
      <c r="F995" s="43"/>
    </row>
    <row r="996" ht="15.75" customHeight="1">
      <c r="F996" s="43"/>
    </row>
    <row r="997" ht="15.75" customHeight="1">
      <c r="F997" s="43"/>
    </row>
    <row r="998" ht="15.75" customHeight="1">
      <c r="F998" s="43"/>
    </row>
    <row r="999" ht="15.75" customHeight="1">
      <c r="F999" s="43"/>
    </row>
    <row r="1000" ht="15.75" customHeight="1">
      <c r="F1000" s="43"/>
    </row>
    <row r="1001" ht="15.75" customHeight="1">
      <c r="F1001" s="43"/>
    </row>
  </sheetData>
  <mergeCells count="10">
    <mergeCell ref="A138:B138"/>
    <mergeCell ref="A152:B152"/>
    <mergeCell ref="A159:B159"/>
    <mergeCell ref="C1:D1"/>
    <mergeCell ref="E1:F1"/>
    <mergeCell ref="C3:F3"/>
    <mergeCell ref="A6:B6"/>
    <mergeCell ref="A32:B32"/>
    <mergeCell ref="A88:B88"/>
    <mergeCell ref="A125:B125"/>
  </mergeCells>
  <printOptions/>
  <pageMargins bottom="0.787401575" footer="0.0" header="0.0" left="0.7" right="0.7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51.43"/>
    <col customWidth="1" min="3" max="3" width="6.29"/>
    <col customWidth="1" min="4" max="4" width="6.14"/>
    <col customWidth="1" min="5" max="5" width="8.0"/>
    <col customWidth="1" min="6" max="6" width="15.86"/>
    <col customWidth="1" min="7" max="26" width="8.86"/>
  </cols>
  <sheetData>
    <row r="1">
      <c r="A1" s="1"/>
      <c r="B1" s="2"/>
      <c r="C1" s="3"/>
      <c r="E1" s="3"/>
    </row>
    <row r="2">
      <c r="A2" s="1"/>
      <c r="B2" s="4" t="s">
        <v>0</v>
      </c>
      <c r="C2" s="5" t="s">
        <v>145</v>
      </c>
      <c r="D2" s="6">
        <v>2026.0</v>
      </c>
      <c r="E2" s="3"/>
      <c r="F2" s="3"/>
    </row>
    <row r="3">
      <c r="A3" s="1"/>
      <c r="B3" s="2" t="s">
        <v>2</v>
      </c>
      <c r="C3" s="7" t="s">
        <v>146</v>
      </c>
    </row>
    <row r="4">
      <c r="A4" s="1"/>
      <c r="B4" s="2"/>
      <c r="C4" s="8"/>
      <c r="D4" s="8"/>
      <c r="E4" s="3"/>
      <c r="F4" s="3"/>
    </row>
    <row r="5" hidden="1">
      <c r="C5" s="9" t="s">
        <v>4</v>
      </c>
      <c r="D5" s="10" t="s">
        <v>5</v>
      </c>
      <c r="E5" s="10" t="s">
        <v>6</v>
      </c>
      <c r="F5" s="11" t="s">
        <v>7</v>
      </c>
    </row>
    <row r="6">
      <c r="A6" s="12" t="s">
        <v>8</v>
      </c>
      <c r="B6" s="13"/>
      <c r="C6" s="14">
        <v>1.0</v>
      </c>
      <c r="D6" s="15"/>
      <c r="E6" s="15"/>
      <c r="F6" s="16">
        <f>IF(SUM(F7:F30)&gt;0,1,0)</f>
        <v>1</v>
      </c>
    </row>
    <row r="7" hidden="1">
      <c r="A7" s="17"/>
      <c r="B7" s="18" t="s">
        <v>9</v>
      </c>
      <c r="C7" s="19">
        <f t="shared" ref="C7:C8" si="1">$C$6</f>
        <v>1</v>
      </c>
      <c r="D7" s="20">
        <v>0.0</v>
      </c>
      <c r="E7" s="21">
        <v>12000.0</v>
      </c>
      <c r="F7" s="22">
        <f t="shared" ref="F7:F30" si="2">D7*E7*C7</f>
        <v>0</v>
      </c>
    </row>
    <row r="8">
      <c r="A8" s="18"/>
      <c r="B8" s="21" t="s">
        <v>10</v>
      </c>
      <c r="C8" s="19">
        <f t="shared" si="1"/>
        <v>1</v>
      </c>
      <c r="D8" s="20">
        <v>1.0</v>
      </c>
      <c r="E8" s="21">
        <v>15000.0</v>
      </c>
      <c r="F8" s="22">
        <f t="shared" si="2"/>
        <v>15000</v>
      </c>
    </row>
    <row r="9" hidden="1">
      <c r="A9" s="18"/>
      <c r="B9" s="18" t="s">
        <v>11</v>
      </c>
      <c r="C9" s="23">
        <v>1.0</v>
      </c>
      <c r="D9" s="20">
        <v>0.0</v>
      </c>
      <c r="E9" s="21">
        <v>30000.0</v>
      </c>
      <c r="F9" s="22">
        <f t="shared" si="2"/>
        <v>0</v>
      </c>
    </row>
    <row r="10" hidden="1">
      <c r="A10" s="18"/>
      <c r="B10" s="18" t="s">
        <v>12</v>
      </c>
      <c r="C10" s="19">
        <f t="shared" ref="C10:C14" si="3">$C$6</f>
        <v>1</v>
      </c>
      <c r="D10" s="20">
        <v>0.0</v>
      </c>
      <c r="E10" s="21">
        <v>35000.0</v>
      </c>
      <c r="F10" s="22">
        <f t="shared" si="2"/>
        <v>0</v>
      </c>
    </row>
    <row r="11" hidden="1">
      <c r="A11" s="18"/>
      <c r="B11" s="18" t="s">
        <v>13</v>
      </c>
      <c r="C11" s="19">
        <f t="shared" si="3"/>
        <v>1</v>
      </c>
      <c r="D11" s="20">
        <v>0.0</v>
      </c>
      <c r="E11" s="21">
        <v>40000.0</v>
      </c>
      <c r="F11" s="22">
        <f t="shared" si="2"/>
        <v>0</v>
      </c>
    </row>
    <row r="12" hidden="1">
      <c r="A12" s="18"/>
      <c r="B12" s="18" t="s">
        <v>14</v>
      </c>
      <c r="C12" s="19">
        <f t="shared" si="3"/>
        <v>1</v>
      </c>
      <c r="D12" s="20">
        <v>0.0</v>
      </c>
      <c r="E12" s="21">
        <v>50000.0</v>
      </c>
      <c r="F12" s="22">
        <f t="shared" si="2"/>
        <v>0</v>
      </c>
    </row>
    <row r="13" hidden="1">
      <c r="A13" s="18"/>
      <c r="B13" s="18" t="s">
        <v>15</v>
      </c>
      <c r="C13" s="19">
        <f t="shared" si="3"/>
        <v>1</v>
      </c>
      <c r="D13" s="20">
        <v>0.0</v>
      </c>
      <c r="E13" s="21">
        <v>80000.0</v>
      </c>
      <c r="F13" s="22">
        <f t="shared" si="2"/>
        <v>0</v>
      </c>
    </row>
    <row r="14" hidden="1">
      <c r="A14" s="21"/>
      <c r="B14" s="21" t="s">
        <v>16</v>
      </c>
      <c r="C14" s="19">
        <f t="shared" si="3"/>
        <v>1</v>
      </c>
      <c r="D14" s="20">
        <v>0.0</v>
      </c>
      <c r="E14" s="21">
        <v>1000.0</v>
      </c>
      <c r="F14" s="22">
        <f t="shared" si="2"/>
        <v>0</v>
      </c>
    </row>
    <row r="15" hidden="1">
      <c r="A15" s="21"/>
      <c r="B15" s="21" t="s">
        <v>17</v>
      </c>
      <c r="C15" s="23">
        <v>1.0</v>
      </c>
      <c r="D15" s="20">
        <v>0.0</v>
      </c>
      <c r="E15" s="21">
        <v>1500.0</v>
      </c>
      <c r="F15" s="22">
        <f t="shared" si="2"/>
        <v>0</v>
      </c>
    </row>
    <row r="16" hidden="1">
      <c r="A16" s="21"/>
      <c r="B16" s="21" t="s">
        <v>18</v>
      </c>
      <c r="C16" s="19">
        <f t="shared" ref="C16:C30" si="4">$C$6</f>
        <v>1</v>
      </c>
      <c r="D16" s="20">
        <v>0.0</v>
      </c>
      <c r="E16" s="21">
        <v>1000.0</v>
      </c>
      <c r="F16" s="22">
        <f t="shared" si="2"/>
        <v>0</v>
      </c>
    </row>
    <row r="17" hidden="1">
      <c r="A17" s="21"/>
      <c r="B17" s="21" t="s">
        <v>19</v>
      </c>
      <c r="C17" s="19">
        <f t="shared" si="4"/>
        <v>1</v>
      </c>
      <c r="D17" s="20">
        <v>0.0</v>
      </c>
      <c r="E17" s="21">
        <v>1200.0</v>
      </c>
      <c r="F17" s="22">
        <f t="shared" si="2"/>
        <v>0</v>
      </c>
    </row>
    <row r="18" hidden="1">
      <c r="A18" s="21"/>
      <c r="B18" s="21" t="s">
        <v>20</v>
      </c>
      <c r="C18" s="19">
        <f t="shared" si="4"/>
        <v>1</v>
      </c>
      <c r="D18" s="20">
        <v>0.0</v>
      </c>
      <c r="E18" s="21">
        <v>2000.0</v>
      </c>
      <c r="F18" s="22">
        <f t="shared" si="2"/>
        <v>0</v>
      </c>
    </row>
    <row r="19" hidden="1">
      <c r="A19" s="21"/>
      <c r="B19" s="21" t="s">
        <v>21</v>
      </c>
      <c r="C19" s="19">
        <f t="shared" si="4"/>
        <v>1</v>
      </c>
      <c r="D19" s="20">
        <v>0.0</v>
      </c>
      <c r="E19" s="21">
        <v>5000.0</v>
      </c>
      <c r="F19" s="22">
        <f t="shared" si="2"/>
        <v>0</v>
      </c>
    </row>
    <row r="20" hidden="1">
      <c r="A20" s="21"/>
      <c r="B20" s="21" t="s">
        <v>22</v>
      </c>
      <c r="C20" s="19">
        <f t="shared" si="4"/>
        <v>1</v>
      </c>
      <c r="D20" s="20">
        <v>0.0</v>
      </c>
      <c r="E20" s="21">
        <v>350.0</v>
      </c>
      <c r="F20" s="22">
        <f t="shared" si="2"/>
        <v>0</v>
      </c>
    </row>
    <row r="21" ht="15.75" hidden="1" customHeight="1">
      <c r="A21" s="21"/>
      <c r="B21" s="21" t="s">
        <v>23</v>
      </c>
      <c r="C21" s="19">
        <f t="shared" si="4"/>
        <v>1</v>
      </c>
      <c r="D21" s="20">
        <v>0.0</v>
      </c>
      <c r="E21" s="21">
        <v>14000.0</v>
      </c>
      <c r="F21" s="22">
        <f t="shared" si="2"/>
        <v>0</v>
      </c>
    </row>
    <row r="22" ht="15.75" hidden="1" customHeight="1">
      <c r="A22" s="21"/>
      <c r="B22" s="21" t="s">
        <v>24</v>
      </c>
      <c r="C22" s="19">
        <f t="shared" si="4"/>
        <v>1</v>
      </c>
      <c r="D22" s="20">
        <v>0.0</v>
      </c>
      <c r="E22" s="21">
        <v>750.0</v>
      </c>
      <c r="F22" s="22">
        <f t="shared" si="2"/>
        <v>0</v>
      </c>
    </row>
    <row r="23" ht="15.75" hidden="1" customHeight="1">
      <c r="A23" s="21"/>
      <c r="B23" s="21" t="s">
        <v>25</v>
      </c>
      <c r="C23" s="19">
        <f t="shared" si="4"/>
        <v>1</v>
      </c>
      <c r="D23" s="20">
        <v>0.0</v>
      </c>
      <c r="E23" s="21"/>
      <c r="F23" s="22">
        <f t="shared" si="2"/>
        <v>0</v>
      </c>
    </row>
    <row r="24" ht="15.75" hidden="1" customHeight="1">
      <c r="A24" s="21"/>
      <c r="B24" s="21" t="s">
        <v>26</v>
      </c>
      <c r="C24" s="19">
        <f t="shared" si="4"/>
        <v>1</v>
      </c>
      <c r="D24" s="20">
        <v>0.0</v>
      </c>
      <c r="E24" s="21">
        <v>50.0</v>
      </c>
      <c r="F24" s="22">
        <f t="shared" si="2"/>
        <v>0</v>
      </c>
    </row>
    <row r="25" ht="15.75" hidden="1" customHeight="1">
      <c r="A25" s="21"/>
      <c r="B25" s="21" t="s">
        <v>27</v>
      </c>
      <c r="C25" s="19">
        <f t="shared" si="4"/>
        <v>1</v>
      </c>
      <c r="D25" s="20">
        <v>0.0</v>
      </c>
      <c r="E25" s="21">
        <v>5000.0</v>
      </c>
      <c r="F25" s="22">
        <f t="shared" si="2"/>
        <v>0</v>
      </c>
    </row>
    <row r="26" ht="15.75" hidden="1" customHeight="1">
      <c r="A26" s="21"/>
      <c r="B26" s="21" t="s">
        <v>28</v>
      </c>
      <c r="C26" s="19">
        <f t="shared" si="4"/>
        <v>1</v>
      </c>
      <c r="D26" s="20">
        <v>0.0</v>
      </c>
      <c r="E26" s="21">
        <v>3000.0</v>
      </c>
      <c r="F26" s="22">
        <f t="shared" si="2"/>
        <v>0</v>
      </c>
    </row>
    <row r="27" ht="15.75" hidden="1" customHeight="1">
      <c r="A27" s="21"/>
      <c r="B27" s="21" t="s">
        <v>147</v>
      </c>
      <c r="C27" s="19">
        <f t="shared" si="4"/>
        <v>1</v>
      </c>
      <c r="D27" s="20">
        <v>0.0</v>
      </c>
      <c r="E27" s="21">
        <v>3000.0</v>
      </c>
      <c r="F27" s="22">
        <f t="shared" si="2"/>
        <v>0</v>
      </c>
    </row>
    <row r="28" ht="15.75" hidden="1" customHeight="1">
      <c r="A28" s="21"/>
      <c r="B28" s="21" t="s">
        <v>30</v>
      </c>
      <c r="C28" s="19">
        <f t="shared" si="4"/>
        <v>1</v>
      </c>
      <c r="D28" s="20">
        <v>0.0</v>
      </c>
      <c r="E28" s="21">
        <v>200.0</v>
      </c>
      <c r="F28" s="22">
        <f t="shared" si="2"/>
        <v>0</v>
      </c>
    </row>
    <row r="29" ht="15.75" hidden="1" customHeight="1">
      <c r="A29" s="21"/>
      <c r="B29" s="21" t="s">
        <v>31</v>
      </c>
      <c r="C29" s="19">
        <f t="shared" si="4"/>
        <v>1</v>
      </c>
      <c r="D29" s="20">
        <v>0.0</v>
      </c>
      <c r="E29" s="21">
        <v>500.0</v>
      </c>
      <c r="F29" s="22">
        <f t="shared" si="2"/>
        <v>0</v>
      </c>
    </row>
    <row r="30" ht="15.75" hidden="1" customHeight="1">
      <c r="A30" s="21"/>
      <c r="B30" s="21" t="s">
        <v>26</v>
      </c>
      <c r="C30" s="19">
        <f t="shared" si="4"/>
        <v>1</v>
      </c>
      <c r="D30" s="20">
        <v>0.0</v>
      </c>
      <c r="E30" s="21">
        <v>50.0</v>
      </c>
      <c r="F30" s="22">
        <f t="shared" si="2"/>
        <v>0</v>
      </c>
    </row>
    <row r="31" ht="15.75" hidden="1" customHeight="1">
      <c r="A31" s="21"/>
      <c r="B31" s="21"/>
      <c r="C31" s="19"/>
      <c r="D31" s="21"/>
      <c r="E31" s="21"/>
      <c r="F31" s="22"/>
    </row>
    <row r="32" ht="15.75" customHeight="1">
      <c r="A32" s="12" t="s">
        <v>32</v>
      </c>
      <c r="B32" s="13"/>
      <c r="C32" s="24"/>
      <c r="D32" s="25"/>
      <c r="E32" s="25"/>
      <c r="F32" s="26">
        <f>IF(SUM(F34:F87)&gt;0,1,0)</f>
        <v>1</v>
      </c>
    </row>
    <row r="33" ht="15.75" hidden="1" customHeight="1">
      <c r="A33" s="21"/>
      <c r="B33" s="27" t="s">
        <v>33</v>
      </c>
      <c r="C33" s="19"/>
      <c r="D33" s="21"/>
      <c r="E33" s="21"/>
      <c r="F33" s="28">
        <f>IF(SUM(F34:F44)&gt;0,1,0)</f>
        <v>0</v>
      </c>
    </row>
    <row r="34" ht="15.75" hidden="1" customHeight="1">
      <c r="A34" s="21"/>
      <c r="B34" s="21" t="s">
        <v>34</v>
      </c>
      <c r="C34" s="19">
        <f t="shared" ref="C34:C41" si="5">$C$6</f>
        <v>1</v>
      </c>
      <c r="D34" s="29">
        <v>0.0</v>
      </c>
      <c r="E34" s="21">
        <v>1500.0</v>
      </c>
      <c r="F34" s="22">
        <f t="shared" ref="F34:F44" si="6">C34*D34*E34</f>
        <v>0</v>
      </c>
    </row>
    <row r="35" ht="15.75" hidden="1" customHeight="1">
      <c r="A35" s="21"/>
      <c r="B35" s="21" t="s">
        <v>35</v>
      </c>
      <c r="C35" s="19">
        <f t="shared" si="5"/>
        <v>1</v>
      </c>
      <c r="D35" s="29">
        <v>0.0</v>
      </c>
      <c r="E35" s="21">
        <v>1500.0</v>
      </c>
      <c r="F35" s="22">
        <f t="shared" si="6"/>
        <v>0</v>
      </c>
    </row>
    <row r="36" ht="15.75" hidden="1" customHeight="1">
      <c r="A36" s="21"/>
      <c r="B36" s="21" t="s">
        <v>36</v>
      </c>
      <c r="C36" s="19">
        <f t="shared" si="5"/>
        <v>1</v>
      </c>
      <c r="D36" s="29">
        <v>0.0</v>
      </c>
      <c r="E36" s="21">
        <v>1500.0</v>
      </c>
      <c r="F36" s="22">
        <f t="shared" si="6"/>
        <v>0</v>
      </c>
    </row>
    <row r="37" ht="15.75" hidden="1" customHeight="1">
      <c r="A37" s="21"/>
      <c r="B37" s="21" t="s">
        <v>37</v>
      </c>
      <c r="C37" s="19">
        <f t="shared" si="5"/>
        <v>1</v>
      </c>
      <c r="D37" s="20">
        <v>0.0</v>
      </c>
      <c r="E37" s="21">
        <v>2000.0</v>
      </c>
      <c r="F37" s="22">
        <f t="shared" si="6"/>
        <v>0</v>
      </c>
    </row>
    <row r="38" ht="15.75" hidden="1" customHeight="1">
      <c r="A38" s="21"/>
      <c r="B38" s="21" t="s">
        <v>38</v>
      </c>
      <c r="C38" s="19">
        <f t="shared" si="5"/>
        <v>1</v>
      </c>
      <c r="D38" s="29">
        <v>0.0</v>
      </c>
      <c r="E38" s="21">
        <v>1200.0</v>
      </c>
      <c r="F38" s="22">
        <f t="shared" si="6"/>
        <v>0</v>
      </c>
    </row>
    <row r="39" ht="15.75" hidden="1" customHeight="1">
      <c r="A39" s="21"/>
      <c r="B39" s="21" t="s">
        <v>39</v>
      </c>
      <c r="C39" s="19">
        <f t="shared" si="5"/>
        <v>1</v>
      </c>
      <c r="D39" s="20">
        <v>0.0</v>
      </c>
      <c r="E39" s="21">
        <v>1800.0</v>
      </c>
      <c r="F39" s="22">
        <f t="shared" si="6"/>
        <v>0</v>
      </c>
    </row>
    <row r="40" ht="15.75" hidden="1" customHeight="1">
      <c r="A40" s="21"/>
      <c r="B40" s="21" t="s">
        <v>40</v>
      </c>
      <c r="C40" s="19">
        <f t="shared" si="5"/>
        <v>1</v>
      </c>
      <c r="D40" s="20">
        <v>0.0</v>
      </c>
      <c r="E40" s="21">
        <v>800.0</v>
      </c>
      <c r="F40" s="22">
        <f t="shared" si="6"/>
        <v>0</v>
      </c>
    </row>
    <row r="41" ht="15.75" hidden="1" customHeight="1">
      <c r="A41" s="21"/>
      <c r="B41" s="21" t="s">
        <v>41</v>
      </c>
      <c r="C41" s="19">
        <f t="shared" si="5"/>
        <v>1</v>
      </c>
      <c r="D41" s="29">
        <v>0.0</v>
      </c>
      <c r="E41" s="21">
        <v>700.0</v>
      </c>
      <c r="F41" s="22">
        <f t="shared" si="6"/>
        <v>0</v>
      </c>
    </row>
    <row r="42" ht="15.75" hidden="1" customHeight="1">
      <c r="A42" s="21"/>
      <c r="B42" s="21" t="s">
        <v>42</v>
      </c>
      <c r="C42" s="19">
        <v>1.0</v>
      </c>
      <c r="D42" s="20">
        <v>0.0</v>
      </c>
      <c r="E42" s="21">
        <v>1400.0</v>
      </c>
      <c r="F42" s="22">
        <f t="shared" si="6"/>
        <v>0</v>
      </c>
    </row>
    <row r="43" ht="15.75" hidden="1" customHeight="1">
      <c r="A43" s="21"/>
      <c r="B43" s="21" t="s">
        <v>43</v>
      </c>
      <c r="C43" s="19">
        <f t="shared" ref="C43:C44" si="7">$C$6</f>
        <v>1</v>
      </c>
      <c r="D43" s="20">
        <v>0.0</v>
      </c>
      <c r="E43" s="21">
        <v>600.0</v>
      </c>
      <c r="F43" s="22">
        <f t="shared" si="6"/>
        <v>0</v>
      </c>
    </row>
    <row r="44" ht="15.75" hidden="1" customHeight="1">
      <c r="A44" s="21"/>
      <c r="B44" s="21" t="s">
        <v>44</v>
      </c>
      <c r="C44" s="19">
        <f t="shared" si="7"/>
        <v>1</v>
      </c>
      <c r="D44" s="20">
        <v>0.0</v>
      </c>
      <c r="E44" s="21">
        <v>500.0</v>
      </c>
      <c r="F44" s="22">
        <f t="shared" si="6"/>
        <v>0</v>
      </c>
    </row>
    <row r="45" ht="15.75" hidden="1" customHeight="1">
      <c r="A45" s="21"/>
      <c r="B45" s="21"/>
      <c r="C45" s="19"/>
      <c r="D45" s="21"/>
      <c r="E45" s="21"/>
      <c r="F45" s="22"/>
    </row>
    <row r="46" ht="15.75" customHeight="1">
      <c r="A46" s="21"/>
      <c r="B46" s="27" t="s">
        <v>45</v>
      </c>
      <c r="C46" s="19"/>
      <c r="D46" s="21"/>
      <c r="E46" s="21"/>
      <c r="F46" s="28">
        <f>IF(SUM(F48:F56)&gt;0,1,0)</f>
        <v>1</v>
      </c>
    </row>
    <row r="47" ht="15.75" hidden="1" customHeight="1">
      <c r="A47" s="21"/>
      <c r="B47" s="21" t="s">
        <v>46</v>
      </c>
      <c r="C47" s="19">
        <f t="shared" ref="C47:C49" si="8">$C$6</f>
        <v>1</v>
      </c>
      <c r="D47" s="20">
        <v>0.0</v>
      </c>
      <c r="E47" s="21">
        <v>1000.0</v>
      </c>
      <c r="F47" s="22">
        <f t="shared" ref="F47:F49" si="9">D47*E47*C47</f>
        <v>0</v>
      </c>
    </row>
    <row r="48" ht="15.75" hidden="1" customHeight="1">
      <c r="A48" s="21"/>
      <c r="B48" s="21" t="s">
        <v>47</v>
      </c>
      <c r="C48" s="19">
        <f t="shared" si="8"/>
        <v>1</v>
      </c>
      <c r="D48" s="20">
        <v>0.0</v>
      </c>
      <c r="E48" s="21">
        <v>1600.0</v>
      </c>
      <c r="F48" s="22">
        <f t="shared" si="9"/>
        <v>0</v>
      </c>
    </row>
    <row r="49" ht="15.75" hidden="1" customHeight="1">
      <c r="A49" s="21"/>
      <c r="B49" s="21" t="s">
        <v>48</v>
      </c>
      <c r="C49" s="19">
        <f t="shared" si="8"/>
        <v>1</v>
      </c>
      <c r="D49" s="20">
        <v>0.0</v>
      </c>
      <c r="E49" s="21">
        <v>2600.0</v>
      </c>
      <c r="F49" s="22">
        <f t="shared" si="9"/>
        <v>0</v>
      </c>
    </row>
    <row r="50" ht="15.75" customHeight="1">
      <c r="A50" s="21"/>
      <c r="B50" s="27" t="s">
        <v>49</v>
      </c>
      <c r="C50" s="19"/>
      <c r="D50" s="21"/>
      <c r="E50" s="21"/>
      <c r="F50" s="28">
        <f>IF(SUM(F51:F56)&gt;0,1,0)</f>
        <v>1</v>
      </c>
    </row>
    <row r="51" ht="15.75" hidden="1" customHeight="1">
      <c r="A51" s="21"/>
      <c r="B51" s="21" t="s">
        <v>50</v>
      </c>
      <c r="C51" s="19">
        <f>$C$6</f>
        <v>1</v>
      </c>
      <c r="D51" s="29">
        <v>0.0</v>
      </c>
      <c r="E51" s="21">
        <v>400.0</v>
      </c>
      <c r="F51" s="22">
        <f t="shared" ref="F51:F56" si="10">D51*E51*C51</f>
        <v>0</v>
      </c>
    </row>
    <row r="52" ht="15.75" hidden="1" customHeight="1">
      <c r="A52" s="21"/>
      <c r="B52" s="21" t="s">
        <v>51</v>
      </c>
      <c r="C52" s="19">
        <v>1.0</v>
      </c>
      <c r="D52" s="20">
        <v>0.0</v>
      </c>
      <c r="E52" s="21">
        <v>400.0</v>
      </c>
      <c r="F52" s="22">
        <f t="shared" si="10"/>
        <v>0</v>
      </c>
    </row>
    <row r="53" ht="15.75" hidden="1" customHeight="1">
      <c r="A53" s="21"/>
      <c r="B53" s="21" t="s">
        <v>52</v>
      </c>
      <c r="C53" s="19">
        <f t="shared" ref="C53:C56" si="11">$C$6</f>
        <v>1</v>
      </c>
      <c r="D53" s="20">
        <v>0.0</v>
      </c>
      <c r="E53" s="21">
        <v>500.0</v>
      </c>
      <c r="F53" s="22">
        <f t="shared" si="10"/>
        <v>0</v>
      </c>
    </row>
    <row r="54" ht="15.75" hidden="1" customHeight="1">
      <c r="A54" s="21"/>
      <c r="B54" s="21" t="s">
        <v>53</v>
      </c>
      <c r="C54" s="19">
        <f t="shared" si="11"/>
        <v>1</v>
      </c>
      <c r="D54" s="20">
        <v>0.0</v>
      </c>
      <c r="E54" s="21">
        <v>1000.0</v>
      </c>
      <c r="F54" s="22">
        <f t="shared" si="10"/>
        <v>0</v>
      </c>
    </row>
    <row r="55" ht="15.75" customHeight="1">
      <c r="A55" s="21"/>
      <c r="B55" s="21" t="s">
        <v>54</v>
      </c>
      <c r="C55" s="19">
        <f t="shared" si="11"/>
        <v>1</v>
      </c>
      <c r="D55" s="20">
        <v>1.0</v>
      </c>
      <c r="E55" s="21">
        <v>1500.0</v>
      </c>
      <c r="F55" s="22">
        <f t="shared" si="10"/>
        <v>1500</v>
      </c>
    </row>
    <row r="56" ht="15.75" hidden="1" customHeight="1">
      <c r="A56" s="21"/>
      <c r="B56" s="21" t="s">
        <v>55</v>
      </c>
      <c r="C56" s="19">
        <f t="shared" si="11"/>
        <v>1</v>
      </c>
      <c r="D56" s="29">
        <v>0.0</v>
      </c>
      <c r="E56" s="21">
        <v>2000.0</v>
      </c>
      <c r="F56" s="22">
        <f t="shared" si="10"/>
        <v>0</v>
      </c>
    </row>
    <row r="57" ht="15.75" hidden="1" customHeight="1">
      <c r="A57" s="21"/>
      <c r="B57" s="21"/>
      <c r="C57" s="19"/>
      <c r="D57" s="21"/>
      <c r="E57" s="21"/>
      <c r="F57" s="22"/>
    </row>
    <row r="58" ht="15.75" hidden="1" customHeight="1">
      <c r="A58" s="21"/>
      <c r="B58" s="27" t="s">
        <v>56</v>
      </c>
      <c r="C58" s="19"/>
      <c r="D58" s="21"/>
      <c r="E58" s="21"/>
      <c r="F58" s="28">
        <f>IF(SUM(F59:F63)&gt;0,1,0)</f>
        <v>0</v>
      </c>
    </row>
    <row r="59" ht="15.75" hidden="1" customHeight="1">
      <c r="A59" s="21"/>
      <c r="B59" s="18" t="s">
        <v>57</v>
      </c>
      <c r="C59" s="19">
        <f t="shared" ref="C59:C63" si="12">$C$6</f>
        <v>1</v>
      </c>
      <c r="D59" s="29">
        <v>0.0</v>
      </c>
      <c r="E59" s="21">
        <v>1000.0</v>
      </c>
      <c r="F59" s="22">
        <f t="shared" ref="F59:F63" si="13">D59*E59*C59</f>
        <v>0</v>
      </c>
    </row>
    <row r="60" ht="15.75" hidden="1" customHeight="1">
      <c r="A60" s="21"/>
      <c r="B60" s="21" t="s">
        <v>58</v>
      </c>
      <c r="C60" s="19">
        <f t="shared" si="12"/>
        <v>1</v>
      </c>
      <c r="D60" s="29">
        <v>0.0</v>
      </c>
      <c r="E60" s="21">
        <v>2000.0</v>
      </c>
      <c r="F60" s="22">
        <f t="shared" si="13"/>
        <v>0</v>
      </c>
    </row>
    <row r="61" ht="15.75" hidden="1" customHeight="1">
      <c r="A61" s="21"/>
      <c r="B61" s="21" t="s">
        <v>59</v>
      </c>
      <c r="C61" s="19">
        <f t="shared" si="12"/>
        <v>1</v>
      </c>
      <c r="D61" s="20">
        <v>0.0</v>
      </c>
      <c r="E61" s="21">
        <v>3000.0</v>
      </c>
      <c r="F61" s="22">
        <f t="shared" si="13"/>
        <v>0</v>
      </c>
    </row>
    <row r="62" ht="15.75" hidden="1" customHeight="1">
      <c r="A62" s="21"/>
      <c r="B62" s="21" t="s">
        <v>60</v>
      </c>
      <c r="C62" s="19">
        <f t="shared" si="12"/>
        <v>1</v>
      </c>
      <c r="D62" s="29">
        <v>0.0</v>
      </c>
      <c r="E62" s="21">
        <v>3500.0</v>
      </c>
      <c r="F62" s="22">
        <f t="shared" si="13"/>
        <v>0</v>
      </c>
    </row>
    <row r="63" ht="15.75" hidden="1" customHeight="1">
      <c r="A63" s="21"/>
      <c r="B63" s="21" t="s">
        <v>61</v>
      </c>
      <c r="C63" s="19">
        <f t="shared" si="12"/>
        <v>1</v>
      </c>
      <c r="D63" s="29">
        <v>0.0</v>
      </c>
      <c r="E63" s="21">
        <v>4000.0</v>
      </c>
      <c r="F63" s="22">
        <f t="shared" si="13"/>
        <v>0</v>
      </c>
    </row>
    <row r="64" ht="15.75" hidden="1" customHeight="1">
      <c r="A64" s="21"/>
      <c r="B64" s="21"/>
      <c r="C64" s="19"/>
      <c r="D64" s="21"/>
      <c r="E64" s="21"/>
      <c r="F64" s="22"/>
    </row>
    <row r="65" ht="15.75" hidden="1" customHeight="1">
      <c r="A65" s="21"/>
      <c r="B65" s="27" t="s">
        <v>62</v>
      </c>
      <c r="C65" s="19"/>
      <c r="D65" s="21"/>
      <c r="E65" s="21"/>
      <c r="F65" s="22">
        <f>IF(SUM(F66:F76)&gt;0,1,0)</f>
        <v>0</v>
      </c>
    </row>
    <row r="66" ht="15.75" hidden="1" customHeight="1">
      <c r="A66" s="21"/>
      <c r="B66" s="21" t="s">
        <v>63</v>
      </c>
      <c r="C66" s="19">
        <f t="shared" ref="C66:C74" si="14">$C$6</f>
        <v>1</v>
      </c>
      <c r="D66" s="20">
        <v>0.0</v>
      </c>
      <c r="E66" s="21">
        <v>500.0</v>
      </c>
      <c r="F66" s="22">
        <f t="shared" ref="F66:F76" si="15">D66*E66*C66</f>
        <v>0</v>
      </c>
    </row>
    <row r="67" ht="15.75" hidden="1" customHeight="1">
      <c r="A67" s="21"/>
      <c r="B67" s="21" t="s">
        <v>64</v>
      </c>
      <c r="C67" s="19">
        <f t="shared" si="14"/>
        <v>1</v>
      </c>
      <c r="D67" s="20">
        <v>0.0</v>
      </c>
      <c r="E67" s="21">
        <v>1000.0</v>
      </c>
      <c r="F67" s="22">
        <f t="shared" si="15"/>
        <v>0</v>
      </c>
    </row>
    <row r="68" ht="15.75" hidden="1" customHeight="1">
      <c r="A68" s="21"/>
      <c r="B68" s="21" t="s">
        <v>65</v>
      </c>
      <c r="C68" s="19">
        <f t="shared" si="14"/>
        <v>1</v>
      </c>
      <c r="D68" s="20">
        <v>0.0</v>
      </c>
      <c r="E68" s="21">
        <v>1500.0</v>
      </c>
      <c r="F68" s="22">
        <f t="shared" si="15"/>
        <v>0</v>
      </c>
    </row>
    <row r="69" ht="15.75" hidden="1" customHeight="1">
      <c r="A69" s="21"/>
      <c r="B69" s="21" t="s">
        <v>148</v>
      </c>
      <c r="C69" s="19">
        <f t="shared" si="14"/>
        <v>1</v>
      </c>
      <c r="D69" s="29">
        <v>0.0</v>
      </c>
      <c r="E69" s="21">
        <v>2000.0</v>
      </c>
      <c r="F69" s="22">
        <f t="shared" si="15"/>
        <v>0</v>
      </c>
    </row>
    <row r="70" ht="15.75" hidden="1" customHeight="1">
      <c r="A70" s="21"/>
      <c r="B70" s="21" t="s">
        <v>67</v>
      </c>
      <c r="C70" s="19">
        <f t="shared" si="14"/>
        <v>1</v>
      </c>
      <c r="D70" s="20">
        <v>0.0</v>
      </c>
      <c r="E70" s="21">
        <v>200.0</v>
      </c>
      <c r="F70" s="22">
        <f t="shared" si="15"/>
        <v>0</v>
      </c>
    </row>
    <row r="71" ht="15.75" hidden="1" customHeight="1">
      <c r="A71" s="21"/>
      <c r="B71" s="21" t="s">
        <v>68</v>
      </c>
      <c r="C71" s="19">
        <f t="shared" si="14"/>
        <v>1</v>
      </c>
      <c r="D71" s="29">
        <v>0.0</v>
      </c>
      <c r="E71" s="21">
        <v>500.0</v>
      </c>
      <c r="F71" s="22">
        <f t="shared" si="15"/>
        <v>0</v>
      </c>
    </row>
    <row r="72" ht="15.75" hidden="1" customHeight="1">
      <c r="A72" s="21"/>
      <c r="B72" s="21" t="s">
        <v>69</v>
      </c>
      <c r="C72" s="19">
        <f t="shared" si="14"/>
        <v>1</v>
      </c>
      <c r="D72" s="20">
        <v>0.0</v>
      </c>
      <c r="E72" s="21">
        <v>300.0</v>
      </c>
      <c r="F72" s="22">
        <f t="shared" si="15"/>
        <v>0</v>
      </c>
    </row>
    <row r="73" ht="15.75" hidden="1" customHeight="1">
      <c r="A73" s="21"/>
      <c r="B73" s="21" t="s">
        <v>70</v>
      </c>
      <c r="C73" s="19">
        <f t="shared" si="14"/>
        <v>1</v>
      </c>
      <c r="D73" s="29">
        <v>0.0</v>
      </c>
      <c r="E73" s="21">
        <v>600.0</v>
      </c>
      <c r="F73" s="22">
        <f t="shared" si="15"/>
        <v>0</v>
      </c>
    </row>
    <row r="74" ht="15.75" hidden="1" customHeight="1">
      <c r="A74" s="21"/>
      <c r="B74" s="21" t="s">
        <v>71</v>
      </c>
      <c r="C74" s="19">
        <f t="shared" si="14"/>
        <v>1</v>
      </c>
      <c r="D74" s="20">
        <v>0.0</v>
      </c>
      <c r="E74" s="21">
        <v>1200.0</v>
      </c>
      <c r="F74" s="22">
        <f t="shared" si="15"/>
        <v>0</v>
      </c>
    </row>
    <row r="75" ht="15.75" hidden="1" customHeight="1">
      <c r="A75" s="21"/>
      <c r="B75" s="21" t="s">
        <v>72</v>
      </c>
      <c r="C75" s="19">
        <v>1.0</v>
      </c>
      <c r="D75" s="20">
        <v>0.0</v>
      </c>
      <c r="E75" s="21">
        <v>600.0</v>
      </c>
      <c r="F75" s="22">
        <f t="shared" si="15"/>
        <v>0</v>
      </c>
    </row>
    <row r="76" ht="16.5" hidden="1" customHeight="1">
      <c r="A76" s="21"/>
      <c r="B76" s="21" t="s">
        <v>73</v>
      </c>
      <c r="C76" s="19">
        <f>$C$6</f>
        <v>1</v>
      </c>
      <c r="D76" s="29">
        <v>0.0</v>
      </c>
      <c r="E76" s="21">
        <v>400.0</v>
      </c>
      <c r="F76" s="22">
        <f t="shared" si="15"/>
        <v>0</v>
      </c>
    </row>
    <row r="77" ht="16.5" hidden="1" customHeight="1">
      <c r="A77" s="21"/>
      <c r="B77" s="21"/>
      <c r="C77" s="19"/>
      <c r="D77" s="21"/>
      <c r="E77" s="21"/>
      <c r="F77" s="22"/>
    </row>
    <row r="78" ht="15.75" hidden="1" customHeight="1">
      <c r="A78" s="21"/>
      <c r="B78" s="27" t="s">
        <v>74</v>
      </c>
      <c r="C78" s="19"/>
      <c r="D78" s="21"/>
      <c r="E78" s="21"/>
      <c r="F78" s="28">
        <f>IF(SUM(F79:F86)&gt;0,1,0)</f>
        <v>0</v>
      </c>
    </row>
    <row r="79" ht="15.75" hidden="1" customHeight="1">
      <c r="A79" s="21"/>
      <c r="B79" s="21" t="s">
        <v>75</v>
      </c>
      <c r="C79" s="19">
        <f t="shared" ref="C79:C81" si="16">$C$6</f>
        <v>1</v>
      </c>
      <c r="D79" s="29">
        <v>0.0</v>
      </c>
      <c r="E79" s="21">
        <v>500.0</v>
      </c>
      <c r="F79" s="22">
        <f t="shared" ref="F79:F86" si="17">D79*E79*C79</f>
        <v>0</v>
      </c>
    </row>
    <row r="80" ht="15.75" hidden="1" customHeight="1">
      <c r="A80" s="21"/>
      <c r="B80" s="21" t="s">
        <v>75</v>
      </c>
      <c r="C80" s="19">
        <f t="shared" si="16"/>
        <v>1</v>
      </c>
      <c r="D80" s="20">
        <v>0.0</v>
      </c>
      <c r="E80" s="21">
        <v>1000.0</v>
      </c>
      <c r="F80" s="22">
        <f t="shared" si="17"/>
        <v>0</v>
      </c>
    </row>
    <row r="81" ht="15.75" hidden="1" customHeight="1">
      <c r="A81" s="21"/>
      <c r="B81" s="21" t="s">
        <v>75</v>
      </c>
      <c r="C81" s="19">
        <f t="shared" si="16"/>
        <v>1</v>
      </c>
      <c r="D81" s="29">
        <v>0.0</v>
      </c>
      <c r="E81" s="21">
        <v>1500.0</v>
      </c>
      <c r="F81" s="22">
        <f t="shared" si="17"/>
        <v>0</v>
      </c>
    </row>
    <row r="82" ht="15.75" hidden="1" customHeight="1">
      <c r="A82" s="21"/>
      <c r="B82" s="21" t="s">
        <v>75</v>
      </c>
      <c r="C82" s="19">
        <v>1.0</v>
      </c>
      <c r="D82" s="20">
        <v>0.0</v>
      </c>
      <c r="E82" s="21">
        <v>2000.0</v>
      </c>
      <c r="F82" s="22">
        <f t="shared" si="17"/>
        <v>0</v>
      </c>
    </row>
    <row r="83" ht="15.75" hidden="1" customHeight="1">
      <c r="A83" s="21"/>
      <c r="B83" s="21" t="s">
        <v>76</v>
      </c>
      <c r="C83" s="19">
        <f t="shared" ref="C83:C86" si="18">$C$6</f>
        <v>1</v>
      </c>
      <c r="D83" s="20">
        <v>0.0</v>
      </c>
      <c r="E83" s="21">
        <v>500.0</v>
      </c>
      <c r="F83" s="22">
        <f t="shared" si="17"/>
        <v>0</v>
      </c>
    </row>
    <row r="84" ht="15.75" hidden="1" customHeight="1">
      <c r="A84" s="21"/>
      <c r="B84" s="21" t="s">
        <v>77</v>
      </c>
      <c r="C84" s="19">
        <f t="shared" si="18"/>
        <v>1</v>
      </c>
      <c r="D84" s="20">
        <v>0.0</v>
      </c>
      <c r="E84" s="21">
        <v>1000.0</v>
      </c>
      <c r="F84" s="22">
        <f t="shared" si="17"/>
        <v>0</v>
      </c>
    </row>
    <row r="85" ht="15.75" hidden="1" customHeight="1">
      <c r="A85" s="21"/>
      <c r="B85" s="21" t="s">
        <v>78</v>
      </c>
      <c r="C85" s="19">
        <f t="shared" si="18"/>
        <v>1</v>
      </c>
      <c r="D85" s="20">
        <v>0.0</v>
      </c>
      <c r="E85" s="21">
        <v>1500.0</v>
      </c>
      <c r="F85" s="22">
        <f t="shared" si="17"/>
        <v>0</v>
      </c>
    </row>
    <row r="86" ht="15.75" hidden="1" customHeight="1">
      <c r="A86" s="21"/>
      <c r="B86" s="21" t="s">
        <v>79</v>
      </c>
      <c r="C86" s="19">
        <f t="shared" si="18"/>
        <v>1</v>
      </c>
      <c r="D86" s="29">
        <v>0.0</v>
      </c>
      <c r="E86" s="21">
        <v>2000.0</v>
      </c>
      <c r="F86" s="22">
        <f t="shared" si="17"/>
        <v>0</v>
      </c>
    </row>
    <row r="87" ht="15.75" hidden="1" customHeight="1">
      <c r="A87" s="21"/>
      <c r="B87" s="21"/>
      <c r="C87" s="19"/>
      <c r="D87" s="21"/>
      <c r="E87" s="21"/>
      <c r="F87" s="22"/>
    </row>
    <row r="88" ht="15.75" customHeight="1">
      <c r="A88" s="12" t="s">
        <v>80</v>
      </c>
      <c r="B88" s="13"/>
      <c r="C88" s="24"/>
      <c r="D88" s="25"/>
      <c r="E88" s="25"/>
      <c r="F88" s="26">
        <f>IF(SUM(F90:F123)&gt;0,1,0)</f>
        <v>1</v>
      </c>
    </row>
    <row r="89" ht="15.75" customHeight="1">
      <c r="A89" s="17"/>
      <c r="B89" s="17" t="s">
        <v>81</v>
      </c>
      <c r="C89" s="19"/>
      <c r="D89" s="21"/>
      <c r="E89" s="21"/>
      <c r="F89" s="28">
        <f>IF(SUM(F90:F99)&gt;0,1,0)</f>
        <v>1</v>
      </c>
    </row>
    <row r="90" ht="15.75" hidden="1" customHeight="1">
      <c r="A90" s="21"/>
      <c r="B90" s="21" t="s">
        <v>82</v>
      </c>
      <c r="C90" s="19">
        <f t="shared" ref="C90:C99" si="19">$C$6</f>
        <v>1</v>
      </c>
      <c r="D90" s="20">
        <v>0.0</v>
      </c>
      <c r="E90" s="21">
        <v>500.0</v>
      </c>
      <c r="F90" s="22">
        <f t="shared" ref="F90:F99" si="20">D90*E90*C90</f>
        <v>0</v>
      </c>
    </row>
    <row r="91" ht="15.75" hidden="1" customHeight="1">
      <c r="A91" s="21"/>
      <c r="B91" s="21" t="s">
        <v>83</v>
      </c>
      <c r="C91" s="19">
        <f t="shared" si="19"/>
        <v>1</v>
      </c>
      <c r="D91" s="20">
        <v>0.0</v>
      </c>
      <c r="E91" s="21">
        <v>600.0</v>
      </c>
      <c r="F91" s="22">
        <f t="shared" si="20"/>
        <v>0</v>
      </c>
    </row>
    <row r="92" ht="15.75" hidden="1" customHeight="1">
      <c r="A92" s="21"/>
      <c r="B92" s="21" t="s">
        <v>84</v>
      </c>
      <c r="C92" s="19">
        <f t="shared" si="19"/>
        <v>1</v>
      </c>
      <c r="D92" s="20">
        <v>0.0</v>
      </c>
      <c r="E92" s="21">
        <v>500.0</v>
      </c>
      <c r="F92" s="22">
        <f t="shared" si="20"/>
        <v>0</v>
      </c>
    </row>
    <row r="93" ht="15.75" hidden="1" customHeight="1">
      <c r="A93" s="21"/>
      <c r="B93" s="21" t="s">
        <v>85</v>
      </c>
      <c r="C93" s="19">
        <f t="shared" si="19"/>
        <v>1</v>
      </c>
      <c r="D93" s="20">
        <v>0.0</v>
      </c>
      <c r="E93" s="21">
        <v>200.0</v>
      </c>
      <c r="F93" s="22">
        <f t="shared" si="20"/>
        <v>0</v>
      </c>
    </row>
    <row r="94" ht="15.75" hidden="1" customHeight="1">
      <c r="A94" s="21"/>
      <c r="B94" s="21" t="s">
        <v>86</v>
      </c>
      <c r="C94" s="19">
        <f t="shared" si="19"/>
        <v>1</v>
      </c>
      <c r="D94" s="20">
        <v>0.0</v>
      </c>
      <c r="E94" s="21">
        <v>400.0</v>
      </c>
      <c r="F94" s="22">
        <f t="shared" si="20"/>
        <v>0</v>
      </c>
    </row>
    <row r="95" ht="15.75" hidden="1" customHeight="1">
      <c r="A95" s="21"/>
      <c r="B95" s="21" t="s">
        <v>87</v>
      </c>
      <c r="C95" s="19">
        <f t="shared" si="19"/>
        <v>1</v>
      </c>
      <c r="D95" s="20">
        <v>0.0</v>
      </c>
      <c r="E95" s="21">
        <v>200.0</v>
      </c>
      <c r="F95" s="22">
        <f t="shared" si="20"/>
        <v>0</v>
      </c>
    </row>
    <row r="96" ht="15.75" customHeight="1">
      <c r="A96" s="21"/>
      <c r="B96" s="21" t="s">
        <v>88</v>
      </c>
      <c r="C96" s="19">
        <f t="shared" si="19"/>
        <v>1</v>
      </c>
      <c r="D96" s="20">
        <v>1.0</v>
      </c>
      <c r="E96" s="21">
        <v>500.0</v>
      </c>
      <c r="F96" s="22">
        <f t="shared" si="20"/>
        <v>500</v>
      </c>
    </row>
    <row r="97" ht="15.75" hidden="1" customHeight="1">
      <c r="A97" s="21"/>
      <c r="B97" s="21" t="s">
        <v>89</v>
      </c>
      <c r="C97" s="19">
        <f t="shared" si="19"/>
        <v>1</v>
      </c>
      <c r="D97" s="20">
        <v>0.0</v>
      </c>
      <c r="E97" s="21">
        <v>600.0</v>
      </c>
      <c r="F97" s="22">
        <f t="shared" si="20"/>
        <v>0</v>
      </c>
    </row>
    <row r="98" ht="15.75" hidden="1" customHeight="1">
      <c r="A98" s="21"/>
      <c r="B98" s="21" t="s">
        <v>90</v>
      </c>
      <c r="C98" s="19">
        <f t="shared" si="19"/>
        <v>1</v>
      </c>
      <c r="D98" s="20">
        <v>0.0</v>
      </c>
      <c r="E98" s="21">
        <v>200.0</v>
      </c>
      <c r="F98" s="22">
        <f t="shared" si="20"/>
        <v>0</v>
      </c>
    </row>
    <row r="99" ht="15.75" hidden="1" customHeight="1">
      <c r="A99" s="21"/>
      <c r="B99" s="21" t="s">
        <v>91</v>
      </c>
      <c r="C99" s="19">
        <f t="shared" si="19"/>
        <v>1</v>
      </c>
      <c r="D99" s="20">
        <v>0.0</v>
      </c>
      <c r="E99" s="21">
        <v>1500.0</v>
      </c>
      <c r="F99" s="22">
        <f t="shared" si="20"/>
        <v>0</v>
      </c>
    </row>
    <row r="100" ht="15.75" hidden="1" customHeight="1">
      <c r="A100" s="21"/>
      <c r="B100" s="21"/>
      <c r="C100" s="19"/>
      <c r="D100" s="21"/>
      <c r="E100" s="21"/>
      <c r="F100" s="22"/>
    </row>
    <row r="101" ht="15.75" hidden="1" customHeight="1">
      <c r="A101" s="21"/>
      <c r="B101" s="27" t="s">
        <v>92</v>
      </c>
      <c r="C101" s="19"/>
      <c r="D101" s="21"/>
      <c r="E101" s="21"/>
      <c r="F101" s="28">
        <f>IF(SUM(F102:F107)&gt;0,1,0)</f>
        <v>0</v>
      </c>
    </row>
    <row r="102" ht="15.75" hidden="1" customHeight="1">
      <c r="A102" s="21"/>
      <c r="B102" s="21" t="s">
        <v>93</v>
      </c>
      <c r="C102" s="19">
        <f t="shared" ref="C102:C107" si="21">$C$6</f>
        <v>1</v>
      </c>
      <c r="D102" s="29">
        <v>0.0</v>
      </c>
      <c r="E102" s="21">
        <v>600.0</v>
      </c>
      <c r="F102" s="22">
        <f t="shared" ref="F102:F107" si="22">D102*E102*C102</f>
        <v>0</v>
      </c>
    </row>
    <row r="103" ht="15.75" hidden="1" customHeight="1">
      <c r="A103" s="21"/>
      <c r="B103" s="21" t="s">
        <v>149</v>
      </c>
      <c r="C103" s="19">
        <f t="shared" si="21"/>
        <v>1</v>
      </c>
      <c r="D103" s="29">
        <v>0.0</v>
      </c>
      <c r="E103" s="21">
        <v>600.0</v>
      </c>
      <c r="F103" s="22">
        <f t="shared" si="22"/>
        <v>0</v>
      </c>
    </row>
    <row r="104" ht="15.75" hidden="1" customHeight="1">
      <c r="A104" s="21"/>
      <c r="B104" s="21" t="s">
        <v>95</v>
      </c>
      <c r="C104" s="19">
        <f t="shared" si="21"/>
        <v>1</v>
      </c>
      <c r="D104" s="29">
        <v>0.0</v>
      </c>
      <c r="E104" s="21">
        <v>900.0</v>
      </c>
      <c r="F104" s="22">
        <f t="shared" si="22"/>
        <v>0</v>
      </c>
    </row>
    <row r="105" ht="15.75" hidden="1" customHeight="1">
      <c r="A105" s="21"/>
      <c r="B105" s="21" t="s">
        <v>96</v>
      </c>
      <c r="C105" s="19">
        <f t="shared" si="21"/>
        <v>1</v>
      </c>
      <c r="D105" s="29">
        <v>0.0</v>
      </c>
      <c r="E105" s="21">
        <v>1500.0</v>
      </c>
      <c r="F105" s="22">
        <f t="shared" si="22"/>
        <v>0</v>
      </c>
    </row>
    <row r="106" ht="15.75" hidden="1" customHeight="1">
      <c r="A106" s="21"/>
      <c r="B106" s="21" t="s">
        <v>97</v>
      </c>
      <c r="C106" s="19">
        <f t="shared" si="21"/>
        <v>1</v>
      </c>
      <c r="D106" s="29">
        <v>0.0</v>
      </c>
      <c r="E106" s="21">
        <v>1000.0</v>
      </c>
      <c r="F106" s="22">
        <f t="shared" si="22"/>
        <v>0</v>
      </c>
    </row>
    <row r="107" ht="15.75" hidden="1" customHeight="1">
      <c r="A107" s="21"/>
      <c r="B107" s="21" t="s">
        <v>150</v>
      </c>
      <c r="C107" s="19">
        <f t="shared" si="21"/>
        <v>1</v>
      </c>
      <c r="D107" s="20">
        <v>0.0</v>
      </c>
      <c r="E107" s="21">
        <v>3500.0</v>
      </c>
      <c r="F107" s="22">
        <f t="shared" si="22"/>
        <v>0</v>
      </c>
    </row>
    <row r="108" ht="15.75" hidden="1" customHeight="1">
      <c r="A108" s="21"/>
      <c r="B108" s="21"/>
      <c r="C108" s="19"/>
      <c r="D108" s="21"/>
      <c r="E108" s="21"/>
      <c r="F108" s="22"/>
    </row>
    <row r="109" ht="15.75" hidden="1" customHeight="1">
      <c r="A109" s="21"/>
      <c r="B109" s="27" t="s">
        <v>99</v>
      </c>
      <c r="C109" s="19"/>
      <c r="D109" s="21"/>
      <c r="E109" s="21"/>
      <c r="F109" s="28">
        <f>IF(SUM(F110:F123)&gt;0,1,0)</f>
        <v>0</v>
      </c>
    </row>
    <row r="110" ht="15.75" hidden="1" customHeight="1">
      <c r="A110" s="21"/>
      <c r="B110" s="21" t="s">
        <v>100</v>
      </c>
      <c r="C110" s="19">
        <f t="shared" ref="C110:C119" si="23">$C$6</f>
        <v>1</v>
      </c>
      <c r="D110" s="29">
        <v>0.0</v>
      </c>
      <c r="E110" s="21">
        <v>500.0</v>
      </c>
      <c r="F110" s="22">
        <f t="shared" ref="F110:F123" si="24">D110*E110*C110</f>
        <v>0</v>
      </c>
    </row>
    <row r="111" ht="15.75" hidden="1" customHeight="1">
      <c r="A111" s="21"/>
      <c r="B111" s="21" t="s">
        <v>101</v>
      </c>
      <c r="C111" s="19">
        <f t="shared" si="23"/>
        <v>1</v>
      </c>
      <c r="D111" s="29">
        <v>0.0</v>
      </c>
      <c r="E111" s="21">
        <v>1000.0</v>
      </c>
      <c r="F111" s="22">
        <f t="shared" si="24"/>
        <v>0</v>
      </c>
    </row>
    <row r="112" ht="15.75" hidden="1" customHeight="1">
      <c r="A112" s="21"/>
      <c r="B112" s="21" t="s">
        <v>102</v>
      </c>
      <c r="C112" s="19">
        <f t="shared" si="23"/>
        <v>1</v>
      </c>
      <c r="D112" s="29">
        <v>0.0</v>
      </c>
      <c r="E112" s="21">
        <v>3000.0</v>
      </c>
      <c r="F112" s="22">
        <f t="shared" si="24"/>
        <v>0</v>
      </c>
    </row>
    <row r="113" ht="15.75" hidden="1" customHeight="1">
      <c r="A113" s="21"/>
      <c r="B113" s="21" t="s">
        <v>103</v>
      </c>
      <c r="C113" s="19">
        <f t="shared" si="23"/>
        <v>1</v>
      </c>
      <c r="D113" s="29">
        <v>0.0</v>
      </c>
      <c r="E113" s="21">
        <v>1000.0</v>
      </c>
      <c r="F113" s="22">
        <f t="shared" si="24"/>
        <v>0</v>
      </c>
    </row>
    <row r="114" ht="15.75" hidden="1" customHeight="1">
      <c r="A114" s="21"/>
      <c r="B114" s="21" t="s">
        <v>104</v>
      </c>
      <c r="C114" s="19">
        <f t="shared" si="23"/>
        <v>1</v>
      </c>
      <c r="D114" s="29">
        <v>0.0</v>
      </c>
      <c r="E114" s="21">
        <v>2000.0</v>
      </c>
      <c r="F114" s="22">
        <f t="shared" si="24"/>
        <v>0</v>
      </c>
    </row>
    <row r="115" ht="15.75" hidden="1" customHeight="1">
      <c r="A115" s="21"/>
      <c r="B115" s="21" t="s">
        <v>105</v>
      </c>
      <c r="C115" s="19">
        <f t="shared" si="23"/>
        <v>1</v>
      </c>
      <c r="D115" s="29">
        <v>0.0</v>
      </c>
      <c r="E115" s="21">
        <v>3000.0</v>
      </c>
      <c r="F115" s="22">
        <f t="shared" si="24"/>
        <v>0</v>
      </c>
    </row>
    <row r="116" ht="15.75" hidden="1" customHeight="1">
      <c r="A116" s="21"/>
      <c r="B116" s="21" t="s">
        <v>106</v>
      </c>
      <c r="C116" s="19">
        <f t="shared" si="23"/>
        <v>1</v>
      </c>
      <c r="D116" s="29">
        <v>0.0</v>
      </c>
      <c r="E116" s="21">
        <v>2000.0</v>
      </c>
      <c r="F116" s="22">
        <f t="shared" si="24"/>
        <v>0</v>
      </c>
    </row>
    <row r="117" ht="15.75" hidden="1" customHeight="1">
      <c r="A117" s="21"/>
      <c r="B117" s="21" t="s">
        <v>107</v>
      </c>
      <c r="C117" s="19">
        <f t="shared" si="23"/>
        <v>1</v>
      </c>
      <c r="D117" s="29">
        <v>0.0</v>
      </c>
      <c r="E117" s="21">
        <v>1200.0</v>
      </c>
      <c r="F117" s="22">
        <f t="shared" si="24"/>
        <v>0</v>
      </c>
    </row>
    <row r="118" ht="15.75" hidden="1" customHeight="1">
      <c r="A118" s="21"/>
      <c r="B118" s="21" t="s">
        <v>75</v>
      </c>
      <c r="C118" s="19">
        <f t="shared" si="23"/>
        <v>1</v>
      </c>
      <c r="D118" s="29">
        <v>0.0</v>
      </c>
      <c r="E118" s="21">
        <v>1000.0</v>
      </c>
      <c r="F118" s="22">
        <f t="shared" si="24"/>
        <v>0</v>
      </c>
    </row>
    <row r="119" ht="15.75" hidden="1" customHeight="1">
      <c r="A119" s="21"/>
      <c r="B119" s="21" t="s">
        <v>75</v>
      </c>
      <c r="C119" s="19">
        <f t="shared" si="23"/>
        <v>1</v>
      </c>
      <c r="D119" s="29">
        <v>0.0</v>
      </c>
      <c r="E119" s="21">
        <v>1500.0</v>
      </c>
      <c r="F119" s="22">
        <f t="shared" si="24"/>
        <v>0</v>
      </c>
    </row>
    <row r="120" ht="15.75" hidden="1" customHeight="1">
      <c r="A120" s="21"/>
      <c r="B120" s="21" t="s">
        <v>75</v>
      </c>
      <c r="C120" s="19">
        <v>1.0</v>
      </c>
      <c r="D120" s="29">
        <v>0.0</v>
      </c>
      <c r="E120" s="21">
        <v>2000.0</v>
      </c>
      <c r="F120" s="22">
        <f t="shared" si="24"/>
        <v>0</v>
      </c>
    </row>
    <row r="121" ht="15.75" hidden="1" customHeight="1">
      <c r="A121" s="21"/>
      <c r="B121" s="21" t="s">
        <v>108</v>
      </c>
      <c r="C121" s="19">
        <f>$C$6</f>
        <v>1</v>
      </c>
      <c r="D121" s="29">
        <v>0.0</v>
      </c>
      <c r="E121" s="21">
        <v>1000.0</v>
      </c>
      <c r="F121" s="22">
        <f t="shared" si="24"/>
        <v>0</v>
      </c>
    </row>
    <row r="122" ht="15.75" hidden="1" customHeight="1">
      <c r="A122" s="21"/>
      <c r="B122" s="21" t="s">
        <v>109</v>
      </c>
      <c r="C122" s="19">
        <v>1.0</v>
      </c>
      <c r="D122" s="29">
        <v>0.0</v>
      </c>
      <c r="E122" s="21">
        <v>1500.0</v>
      </c>
      <c r="F122" s="22">
        <f t="shared" si="24"/>
        <v>0</v>
      </c>
    </row>
    <row r="123" ht="15.75" hidden="1" customHeight="1">
      <c r="A123" s="21"/>
      <c r="B123" s="21" t="s">
        <v>109</v>
      </c>
      <c r="C123" s="19">
        <f>$C$6</f>
        <v>1</v>
      </c>
      <c r="D123" s="29">
        <v>0.0</v>
      </c>
      <c r="E123" s="21">
        <v>2000.0</v>
      </c>
      <c r="F123" s="22">
        <f t="shared" si="24"/>
        <v>0</v>
      </c>
    </row>
    <row r="124" ht="15.75" hidden="1" customHeight="1">
      <c r="A124" s="21"/>
      <c r="B124" s="21"/>
      <c r="C124" s="19"/>
      <c r="D124" s="21"/>
      <c r="E124" s="21"/>
      <c r="F124" s="22"/>
    </row>
    <row r="125" ht="15.75" customHeight="1">
      <c r="A125" s="12" t="s">
        <v>110</v>
      </c>
      <c r="B125" s="13"/>
      <c r="C125" s="24"/>
      <c r="D125" s="25"/>
      <c r="E125" s="25"/>
      <c r="F125" s="26">
        <f>IF(SUM(F127:F136)&gt;0,1,0)</f>
        <v>1</v>
      </c>
    </row>
    <row r="126" ht="15.75" hidden="1" customHeight="1">
      <c r="A126" s="17"/>
      <c r="B126" s="17"/>
      <c r="C126" s="19"/>
      <c r="D126" s="21"/>
      <c r="E126" s="21"/>
      <c r="F126" s="22"/>
    </row>
    <row r="127" ht="15.75" hidden="1" customHeight="1">
      <c r="A127" s="21"/>
      <c r="B127" s="21" t="s">
        <v>111</v>
      </c>
      <c r="C127" s="19">
        <f t="shared" ref="C127:C136" si="25">$C$6</f>
        <v>1</v>
      </c>
      <c r="D127" s="20">
        <v>0.0</v>
      </c>
      <c r="E127" s="21">
        <v>2500.0</v>
      </c>
      <c r="F127" s="22">
        <f t="shared" ref="F127:F134" si="26">D127*E127*C127</f>
        <v>0</v>
      </c>
    </row>
    <row r="128" ht="15.75" hidden="1" customHeight="1">
      <c r="A128" s="21"/>
      <c r="B128" s="21" t="s">
        <v>112</v>
      </c>
      <c r="C128" s="19">
        <f t="shared" si="25"/>
        <v>1</v>
      </c>
      <c r="D128" s="29">
        <v>0.0</v>
      </c>
      <c r="E128" s="21">
        <v>1500.0</v>
      </c>
      <c r="F128" s="22">
        <f t="shared" si="26"/>
        <v>0</v>
      </c>
    </row>
    <row r="129" ht="15.75" hidden="1" customHeight="1">
      <c r="A129" s="21"/>
      <c r="B129" s="21" t="s">
        <v>113</v>
      </c>
      <c r="C129" s="19">
        <f t="shared" si="25"/>
        <v>1</v>
      </c>
      <c r="D129" s="29">
        <v>0.0</v>
      </c>
      <c r="E129" s="21">
        <v>2800.0</v>
      </c>
      <c r="F129" s="22">
        <f t="shared" si="26"/>
        <v>0</v>
      </c>
    </row>
    <row r="130" ht="15.75" hidden="1" customHeight="1">
      <c r="A130" s="21"/>
      <c r="B130" s="21" t="s">
        <v>114</v>
      </c>
      <c r="C130" s="19">
        <f t="shared" si="25"/>
        <v>1</v>
      </c>
      <c r="D130" s="29">
        <v>0.0</v>
      </c>
      <c r="E130" s="21">
        <v>1500.0</v>
      </c>
      <c r="F130" s="22">
        <f t="shared" si="26"/>
        <v>0</v>
      </c>
    </row>
    <row r="131" ht="15.75" customHeight="1">
      <c r="A131" s="21"/>
      <c r="B131" s="21" t="s">
        <v>115</v>
      </c>
      <c r="C131" s="19">
        <f t="shared" si="25"/>
        <v>1</v>
      </c>
      <c r="D131" s="20">
        <v>1.0</v>
      </c>
      <c r="E131" s="21">
        <v>2000.0</v>
      </c>
      <c r="F131" s="22">
        <f t="shared" si="26"/>
        <v>2000</v>
      </c>
    </row>
    <row r="132" ht="15.75" hidden="1" customHeight="1">
      <c r="A132" s="21"/>
      <c r="B132" s="21" t="s">
        <v>116</v>
      </c>
      <c r="C132" s="19">
        <f t="shared" si="25"/>
        <v>1</v>
      </c>
      <c r="D132" s="29">
        <v>0.0</v>
      </c>
      <c r="E132" s="21">
        <v>1500.0</v>
      </c>
      <c r="F132" s="22">
        <f t="shared" si="26"/>
        <v>0</v>
      </c>
    </row>
    <row r="133" ht="15.75" hidden="1" customHeight="1">
      <c r="A133" s="21"/>
      <c r="B133" s="21" t="s">
        <v>117</v>
      </c>
      <c r="C133" s="19">
        <f t="shared" si="25"/>
        <v>1</v>
      </c>
      <c r="D133" s="29">
        <v>0.0</v>
      </c>
      <c r="E133" s="21">
        <v>1200.0</v>
      </c>
      <c r="F133" s="22">
        <f t="shared" si="26"/>
        <v>0</v>
      </c>
    </row>
    <row r="134" ht="67.5" hidden="1" customHeight="1">
      <c r="A134" s="21"/>
      <c r="B134" s="30" t="s">
        <v>151</v>
      </c>
      <c r="C134" s="19">
        <f t="shared" si="25"/>
        <v>1</v>
      </c>
      <c r="D134" s="20">
        <v>0.0</v>
      </c>
      <c r="E134" s="21">
        <v>10000.0</v>
      </c>
      <c r="F134" s="22">
        <f t="shared" si="26"/>
        <v>0</v>
      </c>
    </row>
    <row r="135" ht="90.75" hidden="1" customHeight="1">
      <c r="A135" s="21"/>
      <c r="B135" s="31" t="s">
        <v>152</v>
      </c>
      <c r="C135" s="19">
        <f t="shared" si="25"/>
        <v>1</v>
      </c>
      <c r="D135" s="20">
        <v>0.0</v>
      </c>
      <c r="E135" s="21">
        <v>15000.0</v>
      </c>
      <c r="F135" s="22">
        <v>0.0</v>
      </c>
    </row>
    <row r="136" ht="15.75" hidden="1" customHeight="1">
      <c r="A136" s="21"/>
      <c r="B136" s="31" t="s">
        <v>153</v>
      </c>
      <c r="C136" s="19">
        <f t="shared" si="25"/>
        <v>1</v>
      </c>
      <c r="D136" s="20">
        <v>0.0</v>
      </c>
      <c r="E136" s="21">
        <v>25000.0</v>
      </c>
      <c r="F136" s="22">
        <v>0.0</v>
      </c>
    </row>
    <row r="137" ht="15.75" hidden="1" customHeight="1">
      <c r="A137" s="21"/>
      <c r="B137" s="21"/>
      <c r="C137" s="19"/>
      <c r="D137" s="21"/>
      <c r="E137" s="21"/>
      <c r="F137" s="22"/>
    </row>
    <row r="138" ht="15.75" hidden="1" customHeight="1">
      <c r="A138" s="12" t="s">
        <v>121</v>
      </c>
      <c r="B138" s="13"/>
      <c r="C138" s="24"/>
      <c r="D138" s="25"/>
      <c r="E138" s="25"/>
      <c r="F138" s="37"/>
    </row>
    <row r="139" ht="15.75" hidden="1" customHeight="1">
      <c r="A139" s="21"/>
      <c r="B139" s="21"/>
      <c r="C139" s="19"/>
      <c r="D139" s="21"/>
      <c r="E139" s="21"/>
      <c r="F139" s="22"/>
    </row>
    <row r="140" ht="15.75" hidden="1" customHeight="1">
      <c r="A140" s="21"/>
      <c r="B140" s="21" t="s">
        <v>122</v>
      </c>
      <c r="C140" s="19">
        <f t="shared" ref="C140:C150" si="27">$C$6</f>
        <v>1</v>
      </c>
      <c r="D140" s="29">
        <v>0.0</v>
      </c>
      <c r="E140" s="21">
        <v>8000.0</v>
      </c>
      <c r="F140" s="22">
        <f t="shared" ref="F140:F150" si="28">D140*E140*C140</f>
        <v>0</v>
      </c>
    </row>
    <row r="141" ht="15.75" hidden="1" customHeight="1">
      <c r="A141" s="21"/>
      <c r="B141" s="21" t="s">
        <v>123</v>
      </c>
      <c r="C141" s="19">
        <f t="shared" si="27"/>
        <v>1</v>
      </c>
      <c r="D141" s="29">
        <v>0.0</v>
      </c>
      <c r="E141" s="21">
        <v>6500.0</v>
      </c>
      <c r="F141" s="22">
        <f t="shared" si="28"/>
        <v>0</v>
      </c>
    </row>
    <row r="142" ht="15.75" hidden="1" customHeight="1">
      <c r="A142" s="21"/>
      <c r="B142" s="21" t="s">
        <v>124</v>
      </c>
      <c r="C142" s="19">
        <f t="shared" si="27"/>
        <v>1</v>
      </c>
      <c r="D142" s="29">
        <v>0.0</v>
      </c>
      <c r="E142" s="21">
        <v>270.0</v>
      </c>
      <c r="F142" s="22">
        <f t="shared" si="28"/>
        <v>0</v>
      </c>
    </row>
    <row r="143" ht="15.75" hidden="1" customHeight="1">
      <c r="A143" s="21"/>
      <c r="B143" s="21" t="s">
        <v>125</v>
      </c>
      <c r="C143" s="19">
        <f t="shared" si="27"/>
        <v>1</v>
      </c>
      <c r="D143" s="29">
        <v>0.0</v>
      </c>
      <c r="E143" s="21">
        <v>6000.0</v>
      </c>
      <c r="F143" s="22">
        <f t="shared" si="28"/>
        <v>0</v>
      </c>
    </row>
    <row r="144" ht="15.75" hidden="1" customHeight="1">
      <c r="A144" s="21"/>
      <c r="B144" s="21" t="s">
        <v>126</v>
      </c>
      <c r="C144" s="19">
        <f t="shared" si="27"/>
        <v>1</v>
      </c>
      <c r="D144" s="20">
        <v>0.0</v>
      </c>
      <c r="E144" s="21">
        <v>6500.0</v>
      </c>
      <c r="F144" s="22">
        <f t="shared" si="28"/>
        <v>0</v>
      </c>
    </row>
    <row r="145" ht="15.75" hidden="1" customHeight="1">
      <c r="A145" s="21"/>
      <c r="B145" s="21" t="s">
        <v>127</v>
      </c>
      <c r="C145" s="19">
        <f t="shared" si="27"/>
        <v>1</v>
      </c>
      <c r="D145" s="20">
        <v>0.0</v>
      </c>
      <c r="E145" s="21">
        <v>6000.0</v>
      </c>
      <c r="F145" s="22">
        <f t="shared" si="28"/>
        <v>0</v>
      </c>
    </row>
    <row r="146" ht="15.75" hidden="1" customHeight="1">
      <c r="A146" s="21"/>
      <c r="B146" s="21" t="s">
        <v>128</v>
      </c>
      <c r="C146" s="19">
        <f t="shared" si="27"/>
        <v>1</v>
      </c>
      <c r="D146" s="20">
        <v>0.0</v>
      </c>
      <c r="E146" s="21">
        <v>6000.0</v>
      </c>
      <c r="F146" s="22">
        <f t="shared" si="28"/>
        <v>0</v>
      </c>
    </row>
    <row r="147" ht="15.75" hidden="1" customHeight="1">
      <c r="A147" s="21"/>
      <c r="B147" s="21" t="s">
        <v>129</v>
      </c>
      <c r="C147" s="19">
        <f t="shared" si="27"/>
        <v>1</v>
      </c>
      <c r="D147" s="20">
        <v>0.0</v>
      </c>
      <c r="E147" s="21">
        <v>6500.0</v>
      </c>
      <c r="F147" s="22">
        <f t="shared" si="28"/>
        <v>0</v>
      </c>
    </row>
    <row r="148" ht="15.75" hidden="1" customHeight="1">
      <c r="A148" s="21"/>
      <c r="B148" s="21" t="s">
        <v>130</v>
      </c>
      <c r="C148" s="19">
        <f t="shared" si="27"/>
        <v>1</v>
      </c>
      <c r="D148" s="20">
        <v>0.0</v>
      </c>
      <c r="E148" s="21">
        <v>5000.0</v>
      </c>
      <c r="F148" s="22">
        <f t="shared" si="28"/>
        <v>0</v>
      </c>
    </row>
    <row r="149" ht="15.75" hidden="1" customHeight="1">
      <c r="A149" s="21"/>
      <c r="B149" s="21" t="s">
        <v>131</v>
      </c>
      <c r="C149" s="19">
        <f t="shared" si="27"/>
        <v>1</v>
      </c>
      <c r="D149" s="29">
        <v>0.0</v>
      </c>
      <c r="E149" s="21">
        <v>6500.0</v>
      </c>
      <c r="F149" s="22">
        <f t="shared" si="28"/>
        <v>0</v>
      </c>
    </row>
    <row r="150" ht="15.75" hidden="1" customHeight="1">
      <c r="A150" s="21"/>
      <c r="B150" s="21" t="s">
        <v>132</v>
      </c>
      <c r="C150" s="19">
        <f t="shared" si="27"/>
        <v>1</v>
      </c>
      <c r="D150" s="29">
        <v>0.0</v>
      </c>
      <c r="E150" s="21">
        <v>6000.0</v>
      </c>
      <c r="F150" s="22">
        <f t="shared" si="28"/>
        <v>0</v>
      </c>
    </row>
    <row r="151" ht="15.75" hidden="1" customHeight="1">
      <c r="A151" s="21"/>
      <c r="B151" s="21"/>
      <c r="C151" s="21"/>
      <c r="D151" s="21"/>
      <c r="E151" s="21"/>
      <c r="F151" s="22"/>
    </row>
    <row r="152" ht="15.75" hidden="1" customHeight="1">
      <c r="A152" s="12" t="s">
        <v>133</v>
      </c>
      <c r="B152" s="13"/>
      <c r="C152" s="12"/>
      <c r="D152" s="25"/>
      <c r="E152" s="25"/>
      <c r="F152" s="37"/>
    </row>
    <row r="153" ht="15.75" hidden="1" customHeight="1">
      <c r="A153" s="21"/>
      <c r="B153" s="21" t="s">
        <v>134</v>
      </c>
      <c r="C153" s="20">
        <v>1.0</v>
      </c>
      <c r="D153" s="20">
        <v>0.0</v>
      </c>
      <c r="E153" s="21">
        <v>18.0</v>
      </c>
      <c r="F153" s="22">
        <f t="shared" ref="F153:F158" si="29">D153*E153*C153</f>
        <v>0</v>
      </c>
    </row>
    <row r="154" ht="15.75" hidden="1" customHeight="1">
      <c r="A154" s="21"/>
      <c r="B154" s="20" t="s">
        <v>135</v>
      </c>
      <c r="C154" s="20">
        <v>1.0</v>
      </c>
      <c r="D154" s="20">
        <v>0.0</v>
      </c>
      <c r="E154" s="20">
        <v>17.0</v>
      </c>
      <c r="F154" s="22">
        <f t="shared" si="29"/>
        <v>0</v>
      </c>
    </row>
    <row r="155" ht="15.75" hidden="1" customHeight="1">
      <c r="A155" s="21"/>
      <c r="B155" s="21" t="s">
        <v>136</v>
      </c>
      <c r="C155" s="21">
        <v>1.0</v>
      </c>
      <c r="D155" s="20">
        <v>0.0</v>
      </c>
      <c r="E155" s="21">
        <v>23.0</v>
      </c>
      <c r="F155" s="22">
        <f t="shared" si="29"/>
        <v>0</v>
      </c>
    </row>
    <row r="156" ht="15.75" hidden="1" customHeight="1">
      <c r="A156" s="21"/>
      <c r="B156" s="21" t="s">
        <v>137</v>
      </c>
      <c r="C156" s="21">
        <v>1.0</v>
      </c>
      <c r="D156" s="20">
        <v>0.0</v>
      </c>
      <c r="E156" s="21">
        <v>30.0</v>
      </c>
      <c r="F156" s="22">
        <f t="shared" si="29"/>
        <v>0</v>
      </c>
    </row>
    <row r="157" ht="15.75" hidden="1" customHeight="1">
      <c r="A157" s="21"/>
      <c r="B157" s="20" t="s">
        <v>138</v>
      </c>
      <c r="C157" s="20">
        <v>1.0</v>
      </c>
      <c r="D157" s="20">
        <v>0.0</v>
      </c>
      <c r="E157" s="20">
        <v>50.0</v>
      </c>
      <c r="F157" s="22">
        <f t="shared" si="29"/>
        <v>0</v>
      </c>
    </row>
    <row r="158" ht="15.75" hidden="1" customHeight="1">
      <c r="A158" s="21"/>
      <c r="B158" s="21" t="s">
        <v>139</v>
      </c>
      <c r="C158" s="21">
        <v>1.0</v>
      </c>
      <c r="D158" s="29">
        <v>0.0</v>
      </c>
      <c r="E158" s="21">
        <v>7.0</v>
      </c>
      <c r="F158" s="22">
        <f t="shared" si="29"/>
        <v>0</v>
      </c>
    </row>
    <row r="159" ht="15.75" customHeight="1">
      <c r="A159" s="32"/>
      <c r="B159" s="33"/>
      <c r="C159" s="32"/>
      <c r="D159" s="34"/>
      <c r="E159" s="34"/>
      <c r="F159" s="35"/>
    </row>
    <row r="160" ht="15.75" customHeight="1">
      <c r="A160" s="36"/>
      <c r="B160" s="19" t="s">
        <v>140</v>
      </c>
      <c r="C160" s="36"/>
      <c r="D160" s="21"/>
      <c r="E160" s="21"/>
      <c r="F160" s="22">
        <f>SUM(F8:F137)</f>
        <v>19006</v>
      </c>
    </row>
    <row r="161" ht="15.75" customHeight="1">
      <c r="A161" s="36"/>
      <c r="B161" s="19" t="s">
        <v>121</v>
      </c>
      <c r="C161" s="36"/>
      <c r="D161" s="21"/>
      <c r="E161" s="21"/>
      <c r="F161" s="22">
        <f>SUM(F141:F150)</f>
        <v>0</v>
      </c>
    </row>
    <row r="162" ht="15.75" customHeight="1">
      <c r="A162" s="25"/>
      <c r="B162" s="24" t="s">
        <v>133</v>
      </c>
      <c r="C162" s="24"/>
      <c r="D162" s="25"/>
      <c r="E162" s="25"/>
      <c r="F162" s="37">
        <f>SUM(F153:F158)</f>
        <v>0</v>
      </c>
    </row>
    <row r="163" ht="15.75" customHeight="1">
      <c r="A163" s="21"/>
      <c r="B163" s="19"/>
      <c r="C163" s="19"/>
      <c r="D163" s="21"/>
      <c r="E163" s="21"/>
      <c r="F163" s="38">
        <v>1.0</v>
      </c>
    </row>
    <row r="164" ht="15.75" customHeight="1">
      <c r="A164" s="21"/>
      <c r="B164" s="19" t="s">
        <v>141</v>
      </c>
      <c r="C164" s="19"/>
      <c r="D164" s="21"/>
      <c r="E164" s="21"/>
      <c r="F164" s="22">
        <f>F160+F161+F162</f>
        <v>19006</v>
      </c>
    </row>
    <row r="165" ht="15.75" customHeight="1">
      <c r="A165" s="21"/>
      <c r="B165" s="19" t="s">
        <v>142</v>
      </c>
      <c r="C165" s="39">
        <v>2.0</v>
      </c>
      <c r="D165" s="18" t="s">
        <v>143</v>
      </c>
      <c r="E165" s="21"/>
      <c r="F165" s="22">
        <f>-(F160/100)*C165</f>
        <v>-380.12</v>
      </c>
    </row>
    <row r="166" ht="15.75" customHeight="1">
      <c r="A166" s="21"/>
      <c r="B166" s="19"/>
      <c r="C166" s="19"/>
      <c r="D166" s="18"/>
      <c r="E166" s="21"/>
      <c r="F166" s="22"/>
    </row>
    <row r="167" ht="15.75" customHeight="1">
      <c r="D167" s="21"/>
      <c r="E167" s="21"/>
      <c r="F167" s="22"/>
    </row>
    <row r="168" ht="15.75" customHeight="1">
      <c r="B168" s="40" t="s">
        <v>144</v>
      </c>
      <c r="C168" s="40"/>
      <c r="D168" s="41"/>
      <c r="E168" s="41"/>
      <c r="F168" s="42">
        <f>SUM(F164:F165)</f>
        <v>18625.88</v>
      </c>
    </row>
    <row r="169" ht="15.75" customHeight="1">
      <c r="F169" s="43"/>
    </row>
    <row r="170" ht="15.75" customHeight="1">
      <c r="F170" s="43"/>
    </row>
    <row r="171" ht="15.75" customHeight="1">
      <c r="F171" s="43"/>
    </row>
    <row r="172" ht="15.75" customHeight="1">
      <c r="F172" s="43"/>
    </row>
    <row r="173" ht="15.75" customHeight="1">
      <c r="F173" s="43"/>
    </row>
    <row r="174" ht="15.75" customHeight="1">
      <c r="F174" s="43"/>
    </row>
    <row r="175" ht="15.75" customHeight="1">
      <c r="F175" s="43"/>
    </row>
    <row r="176" ht="15.75" customHeight="1">
      <c r="F176" s="43"/>
    </row>
    <row r="177" ht="15.75" customHeight="1">
      <c r="F177" s="43"/>
    </row>
    <row r="178" ht="15.75" customHeight="1">
      <c r="F178" s="43"/>
    </row>
    <row r="179" ht="15.75" customHeight="1">
      <c r="F179" s="43"/>
    </row>
    <row r="180" ht="15.75" customHeight="1">
      <c r="F180" s="43"/>
    </row>
    <row r="181" ht="15.75" customHeight="1">
      <c r="F181" s="43"/>
    </row>
    <row r="182" ht="15.75" customHeight="1">
      <c r="F182" s="43"/>
    </row>
    <row r="183" ht="15.75" customHeight="1">
      <c r="F183" s="43"/>
    </row>
    <row r="184" ht="15.75" customHeight="1">
      <c r="F184" s="43"/>
    </row>
    <row r="185" ht="15.75" customHeight="1">
      <c r="F185" s="43"/>
    </row>
    <row r="186" ht="15.75" customHeight="1">
      <c r="F186" s="43"/>
    </row>
    <row r="187" ht="15.75" customHeight="1">
      <c r="F187" s="43"/>
    </row>
    <row r="188" ht="15.75" customHeight="1">
      <c r="F188" s="43"/>
    </row>
    <row r="189" ht="15.75" customHeight="1">
      <c r="F189" s="43"/>
    </row>
    <row r="190" ht="15.75" customHeight="1">
      <c r="F190" s="43"/>
    </row>
    <row r="191" ht="15.75" customHeight="1">
      <c r="F191" s="43"/>
    </row>
    <row r="192" ht="15.75" customHeight="1">
      <c r="F192" s="43"/>
    </row>
    <row r="193" ht="15.75" customHeight="1">
      <c r="F193" s="43"/>
    </row>
    <row r="194" ht="15.75" customHeight="1">
      <c r="F194" s="43"/>
    </row>
    <row r="195" ht="15.75" customHeight="1">
      <c r="F195" s="43"/>
    </row>
    <row r="196" ht="15.75" customHeight="1">
      <c r="F196" s="43"/>
    </row>
    <row r="197" ht="15.75" customHeight="1">
      <c r="F197" s="43"/>
    </row>
    <row r="198" ht="15.75" customHeight="1">
      <c r="F198" s="43"/>
    </row>
    <row r="199" ht="15.75" customHeight="1">
      <c r="F199" s="43"/>
    </row>
    <row r="200" ht="15.75" customHeight="1">
      <c r="F200" s="43"/>
    </row>
    <row r="201" ht="15.75" customHeight="1">
      <c r="F201" s="43"/>
    </row>
    <row r="202" ht="15.75" customHeight="1">
      <c r="F202" s="43"/>
    </row>
    <row r="203" ht="15.75" customHeight="1">
      <c r="F203" s="43"/>
    </row>
    <row r="204" ht="15.75" customHeight="1">
      <c r="F204" s="43"/>
    </row>
    <row r="205" ht="15.75" customHeight="1">
      <c r="F205" s="43"/>
    </row>
    <row r="206" ht="15.75" customHeight="1">
      <c r="F206" s="43"/>
    </row>
    <row r="207" ht="15.75" customHeight="1">
      <c r="F207" s="43"/>
    </row>
    <row r="208" ht="15.75" customHeight="1">
      <c r="F208" s="43"/>
    </row>
    <row r="209" ht="15.75" customHeight="1">
      <c r="F209" s="43"/>
    </row>
    <row r="210" ht="15.75" customHeight="1">
      <c r="F210" s="43"/>
    </row>
    <row r="211" ht="15.75" customHeight="1">
      <c r="F211" s="43"/>
    </row>
    <row r="212" ht="15.75" customHeight="1">
      <c r="F212" s="43"/>
    </row>
    <row r="213" ht="15.75" customHeight="1">
      <c r="F213" s="43"/>
    </row>
    <row r="214" ht="15.75" customHeight="1">
      <c r="F214" s="43"/>
    </row>
    <row r="215" ht="15.75" customHeight="1">
      <c r="F215" s="43"/>
    </row>
    <row r="216" ht="15.75" customHeight="1">
      <c r="F216" s="43"/>
    </row>
    <row r="217" ht="15.75" customHeight="1">
      <c r="F217" s="43"/>
    </row>
    <row r="218" ht="15.75" customHeight="1">
      <c r="F218" s="43"/>
    </row>
    <row r="219" ht="15.75" customHeight="1">
      <c r="F219" s="43"/>
    </row>
    <row r="220" ht="15.75" customHeight="1">
      <c r="F220" s="43"/>
    </row>
    <row r="221" ht="15.75" customHeight="1">
      <c r="F221" s="43"/>
    </row>
    <row r="222" ht="15.75" customHeight="1">
      <c r="F222" s="43"/>
    </row>
    <row r="223" ht="15.75" customHeight="1">
      <c r="F223" s="43"/>
    </row>
    <row r="224" ht="15.75" customHeight="1">
      <c r="F224" s="43"/>
    </row>
    <row r="225" ht="15.75" customHeight="1">
      <c r="F225" s="43"/>
    </row>
    <row r="226" ht="15.75" customHeight="1">
      <c r="F226" s="43"/>
    </row>
    <row r="227" ht="15.75" customHeight="1">
      <c r="F227" s="43"/>
    </row>
    <row r="228" ht="15.75" customHeight="1">
      <c r="F228" s="43"/>
    </row>
    <row r="229" ht="15.75" customHeight="1">
      <c r="F229" s="43"/>
    </row>
    <row r="230" ht="15.75" customHeight="1">
      <c r="F230" s="43"/>
    </row>
    <row r="231" ht="15.75" customHeight="1">
      <c r="F231" s="43"/>
    </row>
    <row r="232" ht="15.75" customHeight="1">
      <c r="F232" s="43"/>
    </row>
    <row r="233" ht="15.75" customHeight="1">
      <c r="F233" s="43"/>
    </row>
    <row r="234" ht="15.75" customHeight="1">
      <c r="F234" s="43"/>
    </row>
    <row r="235" ht="15.75" customHeight="1">
      <c r="F235" s="43"/>
    </row>
    <row r="236" ht="15.75" customHeight="1">
      <c r="F236" s="43"/>
    </row>
    <row r="237" ht="15.75" customHeight="1">
      <c r="F237" s="43"/>
    </row>
    <row r="238" ht="15.75" customHeight="1">
      <c r="F238" s="43"/>
    </row>
    <row r="239" ht="15.75" customHeight="1">
      <c r="F239" s="43"/>
    </row>
    <row r="240" ht="15.75" customHeight="1">
      <c r="F240" s="43"/>
    </row>
    <row r="241" ht="15.75" customHeight="1">
      <c r="F241" s="43"/>
    </row>
    <row r="242" ht="15.75" customHeight="1">
      <c r="F242" s="43"/>
    </row>
    <row r="243" ht="15.75" customHeight="1">
      <c r="F243" s="43"/>
    </row>
    <row r="244" ht="15.75" customHeight="1">
      <c r="F244" s="43"/>
    </row>
    <row r="245" ht="15.75" customHeight="1">
      <c r="F245" s="43"/>
    </row>
    <row r="246" ht="15.75" customHeight="1">
      <c r="F246" s="43"/>
    </row>
    <row r="247" ht="15.75" customHeight="1">
      <c r="F247" s="43"/>
    </row>
    <row r="248" ht="15.75" customHeight="1">
      <c r="F248" s="43"/>
    </row>
    <row r="249" ht="15.75" customHeight="1">
      <c r="F249" s="43"/>
    </row>
    <row r="250" ht="15.75" customHeight="1">
      <c r="F250" s="43"/>
    </row>
    <row r="251" ht="15.75" customHeight="1">
      <c r="F251" s="43"/>
    </row>
    <row r="252" ht="15.75" customHeight="1">
      <c r="F252" s="43"/>
    </row>
    <row r="253" ht="15.75" customHeight="1">
      <c r="F253" s="43"/>
    </row>
    <row r="254" ht="15.75" customHeight="1">
      <c r="F254" s="43"/>
    </row>
    <row r="255" ht="15.75" customHeight="1">
      <c r="F255" s="43"/>
    </row>
    <row r="256" ht="15.75" customHeight="1">
      <c r="F256" s="43"/>
    </row>
    <row r="257" ht="15.75" customHeight="1">
      <c r="F257" s="43"/>
    </row>
    <row r="258" ht="15.75" customHeight="1">
      <c r="F258" s="43"/>
    </row>
    <row r="259" ht="15.75" customHeight="1">
      <c r="F259" s="43"/>
    </row>
    <row r="260" ht="15.75" customHeight="1">
      <c r="F260" s="43"/>
    </row>
    <row r="261" ht="15.75" customHeight="1">
      <c r="F261" s="43"/>
    </row>
    <row r="262" ht="15.75" customHeight="1">
      <c r="F262" s="43"/>
    </row>
    <row r="263" ht="15.75" customHeight="1">
      <c r="F263" s="43"/>
    </row>
    <row r="264" ht="15.75" customHeight="1">
      <c r="F264" s="43"/>
    </row>
    <row r="265" ht="15.75" customHeight="1">
      <c r="F265" s="43"/>
    </row>
    <row r="266" ht="15.75" customHeight="1">
      <c r="F266" s="43"/>
    </row>
    <row r="267" ht="15.75" customHeight="1">
      <c r="F267" s="43"/>
    </row>
    <row r="268" ht="15.75" customHeight="1">
      <c r="F268" s="43"/>
    </row>
    <row r="269" ht="15.75" customHeight="1">
      <c r="F269" s="43"/>
    </row>
    <row r="270" ht="15.75" customHeight="1">
      <c r="F270" s="43"/>
    </row>
    <row r="271" ht="15.75" customHeight="1">
      <c r="F271" s="43"/>
    </row>
    <row r="272" ht="15.75" customHeight="1">
      <c r="F272" s="43"/>
    </row>
    <row r="273" ht="15.75" customHeight="1">
      <c r="F273" s="43"/>
    </row>
    <row r="274" ht="15.75" customHeight="1">
      <c r="F274" s="43"/>
    </row>
    <row r="275" ht="15.75" customHeight="1">
      <c r="F275" s="43"/>
    </row>
    <row r="276" ht="15.75" customHeight="1">
      <c r="F276" s="43"/>
    </row>
    <row r="277" ht="15.75" customHeight="1">
      <c r="F277" s="43"/>
    </row>
    <row r="278" ht="15.75" customHeight="1">
      <c r="F278" s="43"/>
    </row>
    <row r="279" ht="15.75" customHeight="1">
      <c r="F279" s="43"/>
    </row>
    <row r="280" ht="15.75" customHeight="1">
      <c r="F280" s="43"/>
    </row>
    <row r="281" ht="15.75" customHeight="1">
      <c r="F281" s="43"/>
    </row>
    <row r="282" ht="15.75" customHeight="1">
      <c r="F282" s="43"/>
    </row>
    <row r="283" ht="15.75" customHeight="1">
      <c r="F283" s="43"/>
    </row>
    <row r="284" ht="15.75" customHeight="1">
      <c r="F284" s="43"/>
    </row>
    <row r="285" ht="15.75" customHeight="1">
      <c r="F285" s="43"/>
    </row>
    <row r="286" ht="15.75" customHeight="1">
      <c r="F286" s="43"/>
    </row>
    <row r="287" ht="15.75" customHeight="1">
      <c r="F287" s="43"/>
    </row>
    <row r="288" ht="15.75" customHeight="1">
      <c r="F288" s="43"/>
    </row>
    <row r="289" ht="15.75" customHeight="1">
      <c r="F289" s="43"/>
    </row>
    <row r="290" ht="15.75" customHeight="1">
      <c r="F290" s="43"/>
    </row>
    <row r="291" ht="15.75" customHeight="1">
      <c r="F291" s="43"/>
    </row>
    <row r="292" ht="15.75" customHeight="1">
      <c r="F292" s="43"/>
    </row>
    <row r="293" ht="15.75" customHeight="1">
      <c r="F293" s="43"/>
    </row>
    <row r="294" ht="15.75" customHeight="1">
      <c r="F294" s="43"/>
    </row>
    <row r="295" ht="15.75" customHeight="1">
      <c r="F295" s="43"/>
    </row>
    <row r="296" ht="15.75" customHeight="1">
      <c r="F296" s="43"/>
    </row>
    <row r="297" ht="15.75" customHeight="1">
      <c r="F297" s="43"/>
    </row>
    <row r="298" ht="15.75" customHeight="1">
      <c r="F298" s="43"/>
    </row>
    <row r="299" ht="15.75" customHeight="1">
      <c r="F299" s="43"/>
    </row>
    <row r="300" ht="15.75" customHeight="1">
      <c r="F300" s="43"/>
    </row>
    <row r="301" ht="15.75" customHeight="1">
      <c r="F301" s="43"/>
    </row>
    <row r="302" ht="15.75" customHeight="1">
      <c r="F302" s="43"/>
    </row>
    <row r="303" ht="15.75" customHeight="1">
      <c r="F303" s="43"/>
    </row>
    <row r="304" ht="15.75" customHeight="1">
      <c r="F304" s="43"/>
    </row>
    <row r="305" ht="15.75" customHeight="1">
      <c r="F305" s="43"/>
    </row>
    <row r="306" ht="15.75" customHeight="1">
      <c r="F306" s="43"/>
    </row>
    <row r="307" ht="15.75" customHeight="1">
      <c r="F307" s="43"/>
    </row>
    <row r="308" ht="15.75" customHeight="1">
      <c r="F308" s="43"/>
    </row>
    <row r="309" ht="15.75" customHeight="1">
      <c r="F309" s="43"/>
    </row>
    <row r="310" ht="15.75" customHeight="1">
      <c r="F310" s="43"/>
    </row>
    <row r="311" ht="15.75" customHeight="1">
      <c r="F311" s="43"/>
    </row>
    <row r="312" ht="15.75" customHeight="1">
      <c r="F312" s="43"/>
    </row>
    <row r="313" ht="15.75" customHeight="1">
      <c r="F313" s="43"/>
    </row>
    <row r="314" ht="15.75" customHeight="1">
      <c r="F314" s="43"/>
    </row>
    <row r="315" ht="15.75" customHeight="1">
      <c r="F315" s="43"/>
    </row>
    <row r="316" ht="15.75" customHeight="1">
      <c r="F316" s="43"/>
    </row>
    <row r="317" ht="15.75" customHeight="1">
      <c r="F317" s="43"/>
    </row>
    <row r="318" ht="15.75" customHeight="1">
      <c r="F318" s="43"/>
    </row>
    <row r="319" ht="15.75" customHeight="1">
      <c r="F319" s="43"/>
    </row>
    <row r="320" ht="15.75" customHeight="1">
      <c r="F320" s="43"/>
    </row>
    <row r="321" ht="15.75" customHeight="1">
      <c r="F321" s="43"/>
    </row>
    <row r="322" ht="15.75" customHeight="1">
      <c r="F322" s="43"/>
    </row>
    <row r="323" ht="15.75" customHeight="1">
      <c r="F323" s="43"/>
    </row>
    <row r="324" ht="15.75" customHeight="1">
      <c r="F324" s="43"/>
    </row>
    <row r="325" ht="15.75" customHeight="1">
      <c r="F325" s="43"/>
    </row>
    <row r="326" ht="15.75" customHeight="1">
      <c r="F326" s="43"/>
    </row>
    <row r="327" ht="15.75" customHeight="1">
      <c r="F327" s="43"/>
    </row>
    <row r="328" ht="15.75" customHeight="1">
      <c r="F328" s="43"/>
    </row>
    <row r="329" ht="15.75" customHeight="1">
      <c r="F329" s="43"/>
    </row>
    <row r="330" ht="15.75" customHeight="1">
      <c r="F330" s="43"/>
    </row>
    <row r="331" ht="15.75" customHeight="1">
      <c r="F331" s="43"/>
    </row>
    <row r="332" ht="15.75" customHeight="1">
      <c r="F332" s="43"/>
    </row>
    <row r="333" ht="15.75" customHeight="1">
      <c r="F333" s="43"/>
    </row>
    <row r="334" ht="15.75" customHeight="1">
      <c r="F334" s="43"/>
    </row>
    <row r="335" ht="15.75" customHeight="1">
      <c r="F335" s="43"/>
    </row>
    <row r="336" ht="15.75" customHeight="1">
      <c r="F336" s="43"/>
    </row>
    <row r="337" ht="15.75" customHeight="1">
      <c r="F337" s="43"/>
    </row>
    <row r="338" ht="15.75" customHeight="1">
      <c r="F338" s="43"/>
    </row>
    <row r="339" ht="15.75" customHeight="1">
      <c r="F339" s="43"/>
    </row>
    <row r="340" ht="15.75" customHeight="1">
      <c r="F340" s="43"/>
    </row>
    <row r="341" ht="15.75" customHeight="1">
      <c r="F341" s="43"/>
    </row>
    <row r="342" ht="15.75" customHeight="1">
      <c r="F342" s="43"/>
    </row>
    <row r="343" ht="15.75" customHeight="1">
      <c r="F343" s="43"/>
    </row>
    <row r="344" ht="15.75" customHeight="1">
      <c r="F344" s="43"/>
    </row>
    <row r="345" ht="15.75" customHeight="1">
      <c r="F345" s="43"/>
    </row>
    <row r="346" ht="15.75" customHeight="1">
      <c r="F346" s="43"/>
    </row>
    <row r="347" ht="15.75" customHeight="1">
      <c r="F347" s="43"/>
    </row>
    <row r="348" ht="15.75" customHeight="1">
      <c r="F348" s="43"/>
    </row>
    <row r="349" ht="15.75" customHeight="1">
      <c r="F349" s="43"/>
    </row>
    <row r="350" ht="15.75" customHeight="1">
      <c r="F350" s="43"/>
    </row>
    <row r="351" ht="15.75" customHeight="1">
      <c r="F351" s="43"/>
    </row>
    <row r="352" ht="15.75" customHeight="1">
      <c r="F352" s="43"/>
    </row>
    <row r="353" ht="15.75" customHeight="1">
      <c r="F353" s="43"/>
    </row>
    <row r="354" ht="15.75" customHeight="1">
      <c r="F354" s="43"/>
    </row>
    <row r="355" ht="15.75" customHeight="1">
      <c r="F355" s="43"/>
    </row>
    <row r="356" ht="15.75" customHeight="1">
      <c r="F356" s="43"/>
    </row>
    <row r="357" ht="15.75" customHeight="1">
      <c r="F357" s="43"/>
    </row>
    <row r="358" ht="15.75" customHeight="1">
      <c r="F358" s="43"/>
    </row>
    <row r="359" ht="15.75" customHeight="1">
      <c r="F359" s="43"/>
    </row>
    <row r="360" ht="15.75" customHeight="1">
      <c r="F360" s="43"/>
    </row>
    <row r="361" ht="15.75" customHeight="1">
      <c r="F361" s="43"/>
    </row>
    <row r="362" ht="15.75" customHeight="1">
      <c r="F362" s="43"/>
    </row>
    <row r="363" ht="15.75" customHeight="1">
      <c r="F363" s="43"/>
    </row>
    <row r="364" ht="15.75" customHeight="1">
      <c r="F364" s="43"/>
    </row>
    <row r="365" ht="15.75" customHeight="1">
      <c r="F365" s="43"/>
    </row>
    <row r="366" ht="15.75" customHeight="1">
      <c r="F366" s="43"/>
    </row>
    <row r="367" ht="15.75" customHeight="1">
      <c r="F367" s="43"/>
    </row>
    <row r="368" ht="15.75" customHeight="1">
      <c r="F368" s="43"/>
    </row>
    <row r="369" ht="15.75" customHeight="1">
      <c r="F369" s="43"/>
    </row>
    <row r="370" ht="15.75" customHeight="1">
      <c r="F370" s="43"/>
    </row>
    <row r="371" ht="15.75" customHeight="1">
      <c r="F371" s="43"/>
    </row>
    <row r="372" ht="15.75" customHeight="1">
      <c r="F372" s="43"/>
    </row>
    <row r="373" ht="15.75" customHeight="1">
      <c r="F373" s="43"/>
    </row>
    <row r="374" ht="15.75" customHeight="1">
      <c r="F374" s="43"/>
    </row>
    <row r="375" ht="15.75" customHeight="1">
      <c r="F375" s="43"/>
    </row>
    <row r="376" ht="15.75" customHeight="1">
      <c r="F376" s="43"/>
    </row>
    <row r="377" ht="15.75" customHeight="1">
      <c r="F377" s="43"/>
    </row>
    <row r="378" ht="15.75" customHeight="1">
      <c r="F378" s="43"/>
    </row>
    <row r="379" ht="15.75" customHeight="1">
      <c r="F379" s="43"/>
    </row>
    <row r="380" ht="15.75" customHeight="1">
      <c r="F380" s="43"/>
    </row>
    <row r="381" ht="15.75" customHeight="1">
      <c r="F381" s="43"/>
    </row>
    <row r="382" ht="15.75" customHeight="1">
      <c r="F382" s="43"/>
    </row>
    <row r="383" ht="15.75" customHeight="1">
      <c r="F383" s="43"/>
    </row>
    <row r="384" ht="15.75" customHeight="1">
      <c r="F384" s="43"/>
    </row>
    <row r="385" ht="15.75" customHeight="1">
      <c r="F385" s="43"/>
    </row>
    <row r="386" ht="15.75" customHeight="1">
      <c r="F386" s="43"/>
    </row>
    <row r="387" ht="15.75" customHeight="1">
      <c r="F387" s="43"/>
    </row>
    <row r="388" ht="15.75" customHeight="1">
      <c r="F388" s="43"/>
    </row>
    <row r="389" ht="15.75" customHeight="1">
      <c r="F389" s="43"/>
    </row>
    <row r="390" ht="15.75" customHeight="1">
      <c r="F390" s="43"/>
    </row>
    <row r="391" ht="15.75" customHeight="1">
      <c r="F391" s="43"/>
    </row>
    <row r="392" ht="15.75" customHeight="1">
      <c r="F392" s="43"/>
    </row>
    <row r="393" ht="15.75" customHeight="1">
      <c r="F393" s="43"/>
    </row>
    <row r="394" ht="15.75" customHeight="1">
      <c r="F394" s="43"/>
    </row>
    <row r="395" ht="15.75" customHeight="1">
      <c r="F395" s="43"/>
    </row>
    <row r="396" ht="15.75" customHeight="1">
      <c r="F396" s="43"/>
    </row>
    <row r="397" ht="15.75" customHeight="1">
      <c r="F397" s="43"/>
    </row>
    <row r="398" ht="15.75" customHeight="1">
      <c r="F398" s="43"/>
    </row>
    <row r="399" ht="15.75" customHeight="1">
      <c r="F399" s="43"/>
    </row>
    <row r="400" ht="15.75" customHeight="1">
      <c r="F400" s="43"/>
    </row>
    <row r="401" ht="15.75" customHeight="1">
      <c r="F401" s="43"/>
    </row>
    <row r="402" ht="15.75" customHeight="1">
      <c r="F402" s="43"/>
    </row>
    <row r="403" ht="15.75" customHeight="1">
      <c r="F403" s="43"/>
    </row>
    <row r="404" ht="15.75" customHeight="1">
      <c r="F404" s="43"/>
    </row>
    <row r="405" ht="15.75" customHeight="1">
      <c r="F405" s="43"/>
    </row>
    <row r="406" ht="15.75" customHeight="1">
      <c r="F406" s="43"/>
    </row>
    <row r="407" ht="15.75" customHeight="1">
      <c r="F407" s="43"/>
    </row>
    <row r="408" ht="15.75" customHeight="1">
      <c r="F408" s="43"/>
    </row>
    <row r="409" ht="15.75" customHeight="1">
      <c r="F409" s="43"/>
    </row>
    <row r="410" ht="15.75" customHeight="1">
      <c r="F410" s="43"/>
    </row>
    <row r="411" ht="15.75" customHeight="1">
      <c r="F411" s="43"/>
    </row>
    <row r="412" ht="15.75" customHeight="1">
      <c r="F412" s="43"/>
    </row>
    <row r="413" ht="15.75" customHeight="1">
      <c r="F413" s="43"/>
    </row>
    <row r="414" ht="15.75" customHeight="1">
      <c r="F414" s="43"/>
    </row>
    <row r="415" ht="15.75" customHeight="1">
      <c r="F415" s="43"/>
    </row>
    <row r="416" ht="15.75" customHeight="1">
      <c r="F416" s="43"/>
    </row>
    <row r="417" ht="15.75" customHeight="1">
      <c r="F417" s="43"/>
    </row>
    <row r="418" ht="15.75" customHeight="1">
      <c r="F418" s="43"/>
    </row>
    <row r="419" ht="15.75" customHeight="1">
      <c r="F419" s="43"/>
    </row>
    <row r="420" ht="15.75" customHeight="1">
      <c r="F420" s="43"/>
    </row>
    <row r="421" ht="15.75" customHeight="1">
      <c r="F421" s="43"/>
    </row>
    <row r="422" ht="15.75" customHeight="1">
      <c r="F422" s="43"/>
    </row>
    <row r="423" ht="15.75" customHeight="1">
      <c r="F423" s="43"/>
    </row>
    <row r="424" ht="15.75" customHeight="1">
      <c r="F424" s="43"/>
    </row>
    <row r="425" ht="15.75" customHeight="1">
      <c r="F425" s="43"/>
    </row>
    <row r="426" ht="15.75" customHeight="1">
      <c r="F426" s="43"/>
    </row>
    <row r="427" ht="15.75" customHeight="1">
      <c r="F427" s="43"/>
    </row>
    <row r="428" ht="15.75" customHeight="1">
      <c r="F428" s="43"/>
    </row>
    <row r="429" ht="15.75" customHeight="1">
      <c r="F429" s="43"/>
    </row>
    <row r="430" ht="15.75" customHeight="1">
      <c r="F430" s="43"/>
    </row>
    <row r="431" ht="15.75" customHeight="1">
      <c r="F431" s="43"/>
    </row>
    <row r="432" ht="15.75" customHeight="1">
      <c r="F432" s="43"/>
    </row>
    <row r="433" ht="15.75" customHeight="1">
      <c r="F433" s="43"/>
    </row>
    <row r="434" ht="15.75" customHeight="1">
      <c r="F434" s="43"/>
    </row>
    <row r="435" ht="15.75" customHeight="1">
      <c r="F435" s="43"/>
    </row>
    <row r="436" ht="15.75" customHeight="1">
      <c r="F436" s="43"/>
    </row>
    <row r="437" ht="15.75" customHeight="1">
      <c r="F437" s="43"/>
    </row>
    <row r="438" ht="15.75" customHeight="1">
      <c r="F438" s="43"/>
    </row>
    <row r="439" ht="15.75" customHeight="1">
      <c r="F439" s="43"/>
    </row>
    <row r="440" ht="15.75" customHeight="1">
      <c r="F440" s="43"/>
    </row>
    <row r="441" ht="15.75" customHeight="1">
      <c r="F441" s="43"/>
    </row>
    <row r="442" ht="15.75" customHeight="1">
      <c r="F442" s="43"/>
    </row>
    <row r="443" ht="15.75" customHeight="1">
      <c r="F443" s="43"/>
    </row>
    <row r="444" ht="15.75" customHeight="1">
      <c r="F444" s="43"/>
    </row>
    <row r="445" ht="15.75" customHeight="1">
      <c r="F445" s="43"/>
    </row>
    <row r="446" ht="15.75" customHeight="1">
      <c r="F446" s="43"/>
    </row>
    <row r="447" ht="15.75" customHeight="1">
      <c r="F447" s="43"/>
    </row>
    <row r="448" ht="15.75" customHeight="1">
      <c r="F448" s="43"/>
    </row>
    <row r="449" ht="15.75" customHeight="1">
      <c r="F449" s="43"/>
    </row>
    <row r="450" ht="15.75" customHeight="1">
      <c r="F450" s="43"/>
    </row>
    <row r="451" ht="15.75" customHeight="1">
      <c r="F451" s="43"/>
    </row>
    <row r="452" ht="15.75" customHeight="1">
      <c r="F452" s="43"/>
    </row>
    <row r="453" ht="15.75" customHeight="1">
      <c r="F453" s="43"/>
    </row>
    <row r="454" ht="15.75" customHeight="1">
      <c r="F454" s="43"/>
    </row>
    <row r="455" ht="15.75" customHeight="1">
      <c r="F455" s="43"/>
    </row>
    <row r="456" ht="15.75" customHeight="1">
      <c r="F456" s="43"/>
    </row>
    <row r="457" ht="15.75" customHeight="1">
      <c r="F457" s="43"/>
    </row>
    <row r="458" ht="15.75" customHeight="1">
      <c r="F458" s="43"/>
    </row>
    <row r="459" ht="15.75" customHeight="1">
      <c r="F459" s="43"/>
    </row>
    <row r="460" ht="15.75" customHeight="1">
      <c r="F460" s="43"/>
    </row>
    <row r="461" ht="15.75" customHeight="1">
      <c r="F461" s="43"/>
    </row>
    <row r="462" ht="15.75" customHeight="1">
      <c r="F462" s="43"/>
    </row>
    <row r="463" ht="15.75" customHeight="1">
      <c r="F463" s="43"/>
    </row>
    <row r="464" ht="15.75" customHeight="1">
      <c r="F464" s="43"/>
    </row>
    <row r="465" ht="15.75" customHeight="1">
      <c r="F465" s="43"/>
    </row>
    <row r="466" ht="15.75" customHeight="1">
      <c r="F466" s="43"/>
    </row>
    <row r="467" ht="15.75" customHeight="1">
      <c r="F467" s="43"/>
    </row>
    <row r="468" ht="15.75" customHeight="1">
      <c r="F468" s="43"/>
    </row>
    <row r="469" ht="15.75" customHeight="1">
      <c r="F469" s="43"/>
    </row>
    <row r="470" ht="15.75" customHeight="1">
      <c r="F470" s="43"/>
    </row>
    <row r="471" ht="15.75" customHeight="1">
      <c r="F471" s="43"/>
    </row>
    <row r="472" ht="15.75" customHeight="1">
      <c r="F472" s="43"/>
    </row>
    <row r="473" ht="15.75" customHeight="1">
      <c r="F473" s="43"/>
    </row>
    <row r="474" ht="15.75" customHeight="1">
      <c r="F474" s="43"/>
    </row>
    <row r="475" ht="15.75" customHeight="1">
      <c r="F475" s="43"/>
    </row>
    <row r="476" ht="15.75" customHeight="1">
      <c r="F476" s="43"/>
    </row>
    <row r="477" ht="15.75" customHeight="1">
      <c r="F477" s="43"/>
    </row>
    <row r="478" ht="15.75" customHeight="1">
      <c r="F478" s="43"/>
    </row>
    <row r="479" ht="15.75" customHeight="1">
      <c r="F479" s="43"/>
    </row>
    <row r="480" ht="15.75" customHeight="1">
      <c r="F480" s="43"/>
    </row>
    <row r="481" ht="15.75" customHeight="1">
      <c r="F481" s="43"/>
    </row>
    <row r="482" ht="15.75" customHeight="1">
      <c r="F482" s="43"/>
    </row>
    <row r="483" ht="15.75" customHeight="1">
      <c r="F483" s="43"/>
    </row>
    <row r="484" ht="15.75" customHeight="1">
      <c r="F484" s="43"/>
    </row>
    <row r="485" ht="15.75" customHeight="1">
      <c r="F485" s="43"/>
    </row>
    <row r="486" ht="15.75" customHeight="1">
      <c r="F486" s="43"/>
    </row>
    <row r="487" ht="15.75" customHeight="1">
      <c r="F487" s="43"/>
    </row>
    <row r="488" ht="15.75" customHeight="1">
      <c r="F488" s="43"/>
    </row>
    <row r="489" ht="15.75" customHeight="1">
      <c r="F489" s="43"/>
    </row>
    <row r="490" ht="15.75" customHeight="1">
      <c r="F490" s="43"/>
    </row>
    <row r="491" ht="15.75" customHeight="1">
      <c r="F491" s="43"/>
    </row>
    <row r="492" ht="15.75" customHeight="1">
      <c r="F492" s="43"/>
    </row>
    <row r="493" ht="15.75" customHeight="1">
      <c r="F493" s="43"/>
    </row>
    <row r="494" ht="15.75" customHeight="1">
      <c r="F494" s="43"/>
    </row>
    <row r="495" ht="15.75" customHeight="1">
      <c r="F495" s="43"/>
    </row>
    <row r="496" ht="15.75" customHeight="1">
      <c r="F496" s="43"/>
    </row>
    <row r="497" ht="15.75" customHeight="1">
      <c r="F497" s="43"/>
    </row>
    <row r="498" ht="15.75" customHeight="1">
      <c r="F498" s="43"/>
    </row>
    <row r="499" ht="15.75" customHeight="1">
      <c r="F499" s="43"/>
    </row>
    <row r="500" ht="15.75" customHeight="1">
      <c r="F500" s="43"/>
    </row>
    <row r="501" ht="15.75" customHeight="1">
      <c r="F501" s="43"/>
    </row>
    <row r="502" ht="15.75" customHeight="1">
      <c r="F502" s="43"/>
    </row>
    <row r="503" ht="15.75" customHeight="1">
      <c r="F503" s="43"/>
    </row>
    <row r="504" ht="15.75" customHeight="1">
      <c r="F504" s="43"/>
    </row>
    <row r="505" ht="15.75" customHeight="1">
      <c r="F505" s="43"/>
    </row>
    <row r="506" ht="15.75" customHeight="1">
      <c r="F506" s="43"/>
    </row>
    <row r="507" ht="15.75" customHeight="1">
      <c r="F507" s="43"/>
    </row>
    <row r="508" ht="15.75" customHeight="1">
      <c r="F508" s="43"/>
    </row>
    <row r="509" ht="15.75" customHeight="1">
      <c r="F509" s="43"/>
    </row>
    <row r="510" ht="15.75" customHeight="1">
      <c r="F510" s="43"/>
    </row>
    <row r="511" ht="15.75" customHeight="1">
      <c r="F511" s="43"/>
    </row>
    <row r="512" ht="15.75" customHeight="1">
      <c r="F512" s="43"/>
    </row>
    <row r="513" ht="15.75" customHeight="1">
      <c r="F513" s="43"/>
    </row>
    <row r="514" ht="15.75" customHeight="1">
      <c r="F514" s="43"/>
    </row>
    <row r="515" ht="15.75" customHeight="1">
      <c r="F515" s="43"/>
    </row>
    <row r="516" ht="15.75" customHeight="1">
      <c r="F516" s="43"/>
    </row>
    <row r="517" ht="15.75" customHeight="1">
      <c r="F517" s="43"/>
    </row>
    <row r="518" ht="15.75" customHeight="1">
      <c r="F518" s="43"/>
    </row>
    <row r="519" ht="15.75" customHeight="1">
      <c r="F519" s="43"/>
    </row>
    <row r="520" ht="15.75" customHeight="1">
      <c r="F520" s="43"/>
    </row>
    <row r="521" ht="15.75" customHeight="1">
      <c r="F521" s="43"/>
    </row>
    <row r="522" ht="15.75" customHeight="1">
      <c r="F522" s="43"/>
    </row>
    <row r="523" ht="15.75" customHeight="1">
      <c r="F523" s="43"/>
    </row>
    <row r="524" ht="15.75" customHeight="1">
      <c r="F524" s="43"/>
    </row>
    <row r="525" ht="15.75" customHeight="1">
      <c r="F525" s="43"/>
    </row>
    <row r="526" ht="15.75" customHeight="1">
      <c r="F526" s="43"/>
    </row>
    <row r="527" ht="15.75" customHeight="1">
      <c r="F527" s="43"/>
    </row>
    <row r="528" ht="15.75" customHeight="1">
      <c r="F528" s="43"/>
    </row>
    <row r="529" ht="15.75" customHeight="1">
      <c r="F529" s="43"/>
    </row>
    <row r="530" ht="15.75" customHeight="1">
      <c r="F530" s="43"/>
    </row>
    <row r="531" ht="15.75" customHeight="1">
      <c r="F531" s="43"/>
    </row>
    <row r="532" ht="15.75" customHeight="1">
      <c r="F532" s="43"/>
    </row>
    <row r="533" ht="15.75" customHeight="1">
      <c r="F533" s="43"/>
    </row>
    <row r="534" ht="15.75" customHeight="1">
      <c r="F534" s="43"/>
    </row>
    <row r="535" ht="15.75" customHeight="1">
      <c r="F535" s="43"/>
    </row>
    <row r="536" ht="15.75" customHeight="1">
      <c r="F536" s="43"/>
    </row>
    <row r="537" ht="15.75" customHeight="1">
      <c r="F537" s="43"/>
    </row>
    <row r="538" ht="15.75" customHeight="1">
      <c r="F538" s="43"/>
    </row>
    <row r="539" ht="15.75" customHeight="1">
      <c r="F539" s="43"/>
    </row>
    <row r="540" ht="15.75" customHeight="1">
      <c r="F540" s="43"/>
    </row>
    <row r="541" ht="15.75" customHeight="1">
      <c r="F541" s="43"/>
    </row>
    <row r="542" ht="15.75" customHeight="1">
      <c r="F542" s="43"/>
    </row>
    <row r="543" ht="15.75" customHeight="1">
      <c r="F543" s="43"/>
    </row>
    <row r="544" ht="15.75" customHeight="1">
      <c r="F544" s="43"/>
    </row>
    <row r="545" ht="15.75" customHeight="1">
      <c r="F545" s="43"/>
    </row>
    <row r="546" ht="15.75" customHeight="1">
      <c r="F546" s="43"/>
    </row>
    <row r="547" ht="15.75" customHeight="1">
      <c r="F547" s="43"/>
    </row>
    <row r="548" ht="15.75" customHeight="1">
      <c r="F548" s="43"/>
    </row>
    <row r="549" ht="15.75" customHeight="1">
      <c r="F549" s="43"/>
    </row>
    <row r="550" ht="15.75" customHeight="1">
      <c r="F550" s="43"/>
    </row>
    <row r="551" ht="15.75" customHeight="1">
      <c r="F551" s="43"/>
    </row>
    <row r="552" ht="15.75" customHeight="1">
      <c r="F552" s="43"/>
    </row>
    <row r="553" ht="15.75" customHeight="1">
      <c r="F553" s="43"/>
    </row>
    <row r="554" ht="15.75" customHeight="1">
      <c r="F554" s="43"/>
    </row>
    <row r="555" ht="15.75" customHeight="1">
      <c r="F555" s="43"/>
    </row>
    <row r="556" ht="15.75" customHeight="1">
      <c r="F556" s="43"/>
    </row>
    <row r="557" ht="15.75" customHeight="1">
      <c r="F557" s="43"/>
    </row>
    <row r="558" ht="15.75" customHeight="1">
      <c r="F558" s="43"/>
    </row>
    <row r="559" ht="15.75" customHeight="1">
      <c r="F559" s="43"/>
    </row>
    <row r="560" ht="15.75" customHeight="1">
      <c r="F560" s="43"/>
    </row>
    <row r="561" ht="15.75" customHeight="1">
      <c r="F561" s="43"/>
    </row>
    <row r="562" ht="15.75" customHeight="1">
      <c r="F562" s="43"/>
    </row>
    <row r="563" ht="15.75" customHeight="1">
      <c r="F563" s="43"/>
    </row>
    <row r="564" ht="15.75" customHeight="1">
      <c r="F564" s="43"/>
    </row>
    <row r="565" ht="15.75" customHeight="1">
      <c r="F565" s="43"/>
    </row>
    <row r="566" ht="15.75" customHeight="1">
      <c r="F566" s="43"/>
    </row>
    <row r="567" ht="15.75" customHeight="1">
      <c r="F567" s="43"/>
    </row>
    <row r="568" ht="15.75" customHeight="1">
      <c r="F568" s="43"/>
    </row>
    <row r="569" ht="15.75" customHeight="1">
      <c r="F569" s="43"/>
    </row>
    <row r="570" ht="15.75" customHeight="1">
      <c r="F570" s="43"/>
    </row>
    <row r="571" ht="15.75" customHeight="1">
      <c r="F571" s="43"/>
    </row>
    <row r="572" ht="15.75" customHeight="1">
      <c r="F572" s="43"/>
    </row>
    <row r="573" ht="15.75" customHeight="1">
      <c r="F573" s="43"/>
    </row>
    <row r="574" ht="15.75" customHeight="1">
      <c r="F574" s="43"/>
    </row>
    <row r="575" ht="15.75" customHeight="1">
      <c r="F575" s="43"/>
    </row>
    <row r="576" ht="15.75" customHeight="1">
      <c r="F576" s="43"/>
    </row>
    <row r="577" ht="15.75" customHeight="1">
      <c r="F577" s="43"/>
    </row>
    <row r="578" ht="15.75" customHeight="1">
      <c r="F578" s="43"/>
    </row>
    <row r="579" ht="15.75" customHeight="1">
      <c r="F579" s="43"/>
    </row>
    <row r="580" ht="15.75" customHeight="1">
      <c r="F580" s="43"/>
    </row>
    <row r="581" ht="15.75" customHeight="1">
      <c r="F581" s="43"/>
    </row>
    <row r="582" ht="15.75" customHeight="1">
      <c r="F582" s="43"/>
    </row>
    <row r="583" ht="15.75" customHeight="1">
      <c r="F583" s="43"/>
    </row>
    <row r="584" ht="15.75" customHeight="1">
      <c r="F584" s="43"/>
    </row>
    <row r="585" ht="15.75" customHeight="1">
      <c r="F585" s="43"/>
    </row>
    <row r="586" ht="15.75" customHeight="1">
      <c r="F586" s="43"/>
    </row>
    <row r="587" ht="15.75" customHeight="1">
      <c r="F587" s="43"/>
    </row>
    <row r="588" ht="15.75" customHeight="1">
      <c r="F588" s="43"/>
    </row>
    <row r="589" ht="15.75" customHeight="1">
      <c r="F589" s="43"/>
    </row>
    <row r="590" ht="15.75" customHeight="1">
      <c r="F590" s="43"/>
    </row>
    <row r="591" ht="15.75" customHeight="1">
      <c r="F591" s="43"/>
    </row>
    <row r="592" ht="15.75" customHeight="1">
      <c r="F592" s="43"/>
    </row>
    <row r="593" ht="15.75" customHeight="1">
      <c r="F593" s="43"/>
    </row>
    <row r="594" ht="15.75" customHeight="1">
      <c r="F594" s="43"/>
    </row>
    <row r="595" ht="15.75" customHeight="1">
      <c r="F595" s="43"/>
    </row>
    <row r="596" ht="15.75" customHeight="1">
      <c r="F596" s="43"/>
    </row>
    <row r="597" ht="15.75" customHeight="1">
      <c r="F597" s="43"/>
    </row>
    <row r="598" ht="15.75" customHeight="1">
      <c r="F598" s="43"/>
    </row>
    <row r="599" ht="15.75" customHeight="1">
      <c r="F599" s="43"/>
    </row>
    <row r="600" ht="15.75" customHeight="1">
      <c r="F600" s="43"/>
    </row>
    <row r="601" ht="15.75" customHeight="1">
      <c r="F601" s="43"/>
    </row>
    <row r="602" ht="15.75" customHeight="1">
      <c r="F602" s="43"/>
    </row>
    <row r="603" ht="15.75" customHeight="1">
      <c r="F603" s="43"/>
    </row>
    <row r="604" ht="15.75" customHeight="1">
      <c r="F604" s="43"/>
    </row>
    <row r="605" ht="15.75" customHeight="1">
      <c r="F605" s="43"/>
    </row>
    <row r="606" ht="15.75" customHeight="1">
      <c r="F606" s="43"/>
    </row>
    <row r="607" ht="15.75" customHeight="1">
      <c r="F607" s="43"/>
    </row>
    <row r="608" ht="15.75" customHeight="1">
      <c r="F608" s="43"/>
    </row>
    <row r="609" ht="15.75" customHeight="1">
      <c r="F609" s="43"/>
    </row>
    <row r="610" ht="15.75" customHeight="1">
      <c r="F610" s="43"/>
    </row>
    <row r="611" ht="15.75" customHeight="1">
      <c r="F611" s="43"/>
    </row>
    <row r="612" ht="15.75" customHeight="1">
      <c r="F612" s="43"/>
    </row>
    <row r="613" ht="15.75" customHeight="1">
      <c r="F613" s="43"/>
    </row>
    <row r="614" ht="15.75" customHeight="1">
      <c r="F614" s="43"/>
    </row>
    <row r="615" ht="15.75" customHeight="1">
      <c r="F615" s="43"/>
    </row>
    <row r="616" ht="15.75" customHeight="1">
      <c r="F616" s="43"/>
    </row>
    <row r="617" ht="15.75" customHeight="1">
      <c r="F617" s="43"/>
    </row>
    <row r="618" ht="15.75" customHeight="1">
      <c r="F618" s="43"/>
    </row>
    <row r="619" ht="15.75" customHeight="1">
      <c r="F619" s="43"/>
    </row>
    <row r="620" ht="15.75" customHeight="1">
      <c r="F620" s="43"/>
    </row>
    <row r="621" ht="15.75" customHeight="1">
      <c r="F621" s="43"/>
    </row>
    <row r="622" ht="15.75" customHeight="1">
      <c r="F622" s="43"/>
    </row>
    <row r="623" ht="15.75" customHeight="1">
      <c r="F623" s="43"/>
    </row>
    <row r="624" ht="15.75" customHeight="1">
      <c r="F624" s="43"/>
    </row>
    <row r="625" ht="15.75" customHeight="1">
      <c r="F625" s="43"/>
    </row>
    <row r="626" ht="15.75" customHeight="1">
      <c r="F626" s="43"/>
    </row>
    <row r="627" ht="15.75" customHeight="1">
      <c r="F627" s="43"/>
    </row>
    <row r="628" ht="15.75" customHeight="1">
      <c r="F628" s="43"/>
    </row>
    <row r="629" ht="15.75" customHeight="1">
      <c r="F629" s="43"/>
    </row>
    <row r="630" ht="15.75" customHeight="1">
      <c r="F630" s="43"/>
    </row>
    <row r="631" ht="15.75" customHeight="1">
      <c r="F631" s="43"/>
    </row>
    <row r="632" ht="15.75" customHeight="1">
      <c r="F632" s="43"/>
    </row>
    <row r="633" ht="15.75" customHeight="1">
      <c r="F633" s="43"/>
    </row>
    <row r="634" ht="15.75" customHeight="1">
      <c r="F634" s="43"/>
    </row>
    <row r="635" ht="15.75" customHeight="1">
      <c r="F635" s="43"/>
    </row>
    <row r="636" ht="15.75" customHeight="1">
      <c r="F636" s="43"/>
    </row>
    <row r="637" ht="15.75" customHeight="1">
      <c r="F637" s="43"/>
    </row>
    <row r="638" ht="15.75" customHeight="1">
      <c r="F638" s="43"/>
    </row>
    <row r="639" ht="15.75" customHeight="1">
      <c r="F639" s="43"/>
    </row>
    <row r="640" ht="15.75" customHeight="1">
      <c r="F640" s="43"/>
    </row>
    <row r="641" ht="15.75" customHeight="1">
      <c r="F641" s="43"/>
    </row>
    <row r="642" ht="15.75" customHeight="1">
      <c r="F642" s="43"/>
    </row>
    <row r="643" ht="15.75" customHeight="1">
      <c r="F643" s="43"/>
    </row>
    <row r="644" ht="15.75" customHeight="1">
      <c r="F644" s="43"/>
    </row>
    <row r="645" ht="15.75" customHeight="1">
      <c r="F645" s="43"/>
    </row>
    <row r="646" ht="15.75" customHeight="1">
      <c r="F646" s="43"/>
    </row>
    <row r="647" ht="15.75" customHeight="1">
      <c r="F647" s="43"/>
    </row>
    <row r="648" ht="15.75" customHeight="1">
      <c r="F648" s="43"/>
    </row>
    <row r="649" ht="15.75" customHeight="1">
      <c r="F649" s="43"/>
    </row>
    <row r="650" ht="15.75" customHeight="1">
      <c r="F650" s="43"/>
    </row>
    <row r="651" ht="15.75" customHeight="1">
      <c r="F651" s="43"/>
    </row>
    <row r="652" ht="15.75" customHeight="1">
      <c r="F652" s="43"/>
    </row>
    <row r="653" ht="15.75" customHeight="1">
      <c r="F653" s="43"/>
    </row>
    <row r="654" ht="15.75" customHeight="1">
      <c r="F654" s="43"/>
    </row>
    <row r="655" ht="15.75" customHeight="1">
      <c r="F655" s="43"/>
    </row>
    <row r="656" ht="15.75" customHeight="1">
      <c r="F656" s="43"/>
    </row>
    <row r="657" ht="15.75" customHeight="1">
      <c r="F657" s="43"/>
    </row>
    <row r="658" ht="15.75" customHeight="1">
      <c r="F658" s="43"/>
    </row>
    <row r="659" ht="15.75" customHeight="1">
      <c r="F659" s="43"/>
    </row>
    <row r="660" ht="15.75" customHeight="1">
      <c r="F660" s="43"/>
    </row>
    <row r="661" ht="15.75" customHeight="1">
      <c r="F661" s="43"/>
    </row>
    <row r="662" ht="15.75" customHeight="1">
      <c r="F662" s="43"/>
    </row>
    <row r="663" ht="15.75" customHeight="1">
      <c r="F663" s="43"/>
    </row>
    <row r="664" ht="15.75" customHeight="1">
      <c r="F664" s="43"/>
    </row>
    <row r="665" ht="15.75" customHeight="1">
      <c r="F665" s="43"/>
    </row>
    <row r="666" ht="15.75" customHeight="1">
      <c r="F666" s="43"/>
    </row>
    <row r="667" ht="15.75" customHeight="1">
      <c r="F667" s="43"/>
    </row>
    <row r="668" ht="15.75" customHeight="1">
      <c r="F668" s="43"/>
    </row>
    <row r="669" ht="15.75" customHeight="1">
      <c r="F669" s="43"/>
    </row>
    <row r="670" ht="15.75" customHeight="1">
      <c r="F670" s="43"/>
    </row>
    <row r="671" ht="15.75" customHeight="1">
      <c r="F671" s="43"/>
    </row>
    <row r="672" ht="15.75" customHeight="1">
      <c r="F672" s="43"/>
    </row>
    <row r="673" ht="15.75" customHeight="1">
      <c r="F673" s="43"/>
    </row>
    <row r="674" ht="15.75" customHeight="1">
      <c r="F674" s="43"/>
    </row>
    <row r="675" ht="15.75" customHeight="1">
      <c r="F675" s="43"/>
    </row>
    <row r="676" ht="15.75" customHeight="1">
      <c r="F676" s="43"/>
    </row>
    <row r="677" ht="15.75" customHeight="1">
      <c r="F677" s="43"/>
    </row>
    <row r="678" ht="15.75" customHeight="1">
      <c r="F678" s="43"/>
    </row>
    <row r="679" ht="15.75" customHeight="1">
      <c r="F679" s="43"/>
    </row>
    <row r="680" ht="15.75" customHeight="1">
      <c r="F680" s="43"/>
    </row>
    <row r="681" ht="15.75" customHeight="1">
      <c r="F681" s="43"/>
    </row>
    <row r="682" ht="15.75" customHeight="1">
      <c r="F682" s="43"/>
    </row>
    <row r="683" ht="15.75" customHeight="1">
      <c r="F683" s="43"/>
    </row>
    <row r="684" ht="15.75" customHeight="1">
      <c r="F684" s="43"/>
    </row>
    <row r="685" ht="15.75" customHeight="1">
      <c r="F685" s="43"/>
    </row>
    <row r="686" ht="15.75" customHeight="1">
      <c r="F686" s="43"/>
    </row>
    <row r="687" ht="15.75" customHeight="1">
      <c r="F687" s="43"/>
    </row>
    <row r="688" ht="15.75" customHeight="1">
      <c r="F688" s="43"/>
    </row>
    <row r="689" ht="15.75" customHeight="1">
      <c r="F689" s="43"/>
    </row>
    <row r="690" ht="15.75" customHeight="1">
      <c r="F690" s="43"/>
    </row>
    <row r="691" ht="15.75" customHeight="1">
      <c r="F691" s="43"/>
    </row>
    <row r="692" ht="15.75" customHeight="1">
      <c r="F692" s="43"/>
    </row>
    <row r="693" ht="15.75" customHeight="1">
      <c r="F693" s="43"/>
    </row>
    <row r="694" ht="15.75" customHeight="1">
      <c r="F694" s="43"/>
    </row>
    <row r="695" ht="15.75" customHeight="1">
      <c r="F695" s="43"/>
    </row>
    <row r="696" ht="15.75" customHeight="1">
      <c r="F696" s="43"/>
    </row>
    <row r="697" ht="15.75" customHeight="1">
      <c r="F697" s="43"/>
    </row>
    <row r="698" ht="15.75" customHeight="1">
      <c r="F698" s="43"/>
    </row>
    <row r="699" ht="15.75" customHeight="1">
      <c r="F699" s="43"/>
    </row>
    <row r="700" ht="15.75" customHeight="1">
      <c r="F700" s="43"/>
    </row>
    <row r="701" ht="15.75" customHeight="1">
      <c r="F701" s="43"/>
    </row>
    <row r="702" ht="15.75" customHeight="1">
      <c r="F702" s="43"/>
    </row>
    <row r="703" ht="15.75" customHeight="1">
      <c r="F703" s="43"/>
    </row>
    <row r="704" ht="15.75" customHeight="1">
      <c r="F704" s="43"/>
    </row>
    <row r="705" ht="15.75" customHeight="1">
      <c r="F705" s="43"/>
    </row>
    <row r="706" ht="15.75" customHeight="1">
      <c r="F706" s="43"/>
    </row>
    <row r="707" ht="15.75" customHeight="1">
      <c r="F707" s="43"/>
    </row>
    <row r="708" ht="15.75" customHeight="1">
      <c r="F708" s="43"/>
    </row>
    <row r="709" ht="15.75" customHeight="1">
      <c r="F709" s="43"/>
    </row>
    <row r="710" ht="15.75" customHeight="1">
      <c r="F710" s="43"/>
    </row>
    <row r="711" ht="15.75" customHeight="1">
      <c r="F711" s="43"/>
    </row>
    <row r="712" ht="15.75" customHeight="1">
      <c r="F712" s="43"/>
    </row>
    <row r="713" ht="15.75" customHeight="1">
      <c r="F713" s="43"/>
    </row>
    <row r="714" ht="15.75" customHeight="1">
      <c r="F714" s="43"/>
    </row>
    <row r="715" ht="15.75" customHeight="1">
      <c r="F715" s="43"/>
    </row>
    <row r="716" ht="15.75" customHeight="1">
      <c r="F716" s="43"/>
    </row>
    <row r="717" ht="15.75" customHeight="1">
      <c r="F717" s="43"/>
    </row>
    <row r="718" ht="15.75" customHeight="1">
      <c r="F718" s="43"/>
    </row>
    <row r="719" ht="15.75" customHeight="1">
      <c r="F719" s="43"/>
    </row>
    <row r="720" ht="15.75" customHeight="1">
      <c r="F720" s="43"/>
    </row>
    <row r="721" ht="15.75" customHeight="1">
      <c r="F721" s="43"/>
    </row>
    <row r="722" ht="15.75" customHeight="1">
      <c r="F722" s="43"/>
    </row>
    <row r="723" ht="15.75" customHeight="1">
      <c r="F723" s="43"/>
    </row>
    <row r="724" ht="15.75" customHeight="1">
      <c r="F724" s="43"/>
    </row>
    <row r="725" ht="15.75" customHeight="1">
      <c r="F725" s="43"/>
    </row>
    <row r="726" ht="15.75" customHeight="1">
      <c r="F726" s="43"/>
    </row>
    <row r="727" ht="15.75" customHeight="1">
      <c r="F727" s="43"/>
    </row>
    <row r="728" ht="15.75" customHeight="1">
      <c r="F728" s="43"/>
    </row>
    <row r="729" ht="15.75" customHeight="1">
      <c r="F729" s="43"/>
    </row>
    <row r="730" ht="15.75" customHeight="1">
      <c r="F730" s="43"/>
    </row>
    <row r="731" ht="15.75" customHeight="1">
      <c r="F731" s="43"/>
    </row>
    <row r="732" ht="15.75" customHeight="1">
      <c r="F732" s="43"/>
    </row>
    <row r="733" ht="15.75" customHeight="1">
      <c r="F733" s="43"/>
    </row>
    <row r="734" ht="15.75" customHeight="1">
      <c r="F734" s="43"/>
    </row>
    <row r="735" ht="15.75" customHeight="1">
      <c r="F735" s="43"/>
    </row>
    <row r="736" ht="15.75" customHeight="1">
      <c r="F736" s="43"/>
    </row>
    <row r="737" ht="15.75" customHeight="1">
      <c r="F737" s="43"/>
    </row>
    <row r="738" ht="15.75" customHeight="1">
      <c r="F738" s="43"/>
    </row>
    <row r="739" ht="15.75" customHeight="1">
      <c r="F739" s="43"/>
    </row>
    <row r="740" ht="15.75" customHeight="1">
      <c r="F740" s="43"/>
    </row>
    <row r="741" ht="15.75" customHeight="1">
      <c r="F741" s="43"/>
    </row>
    <row r="742" ht="15.75" customHeight="1">
      <c r="F742" s="43"/>
    </row>
    <row r="743" ht="15.75" customHeight="1">
      <c r="F743" s="43"/>
    </row>
    <row r="744" ht="15.75" customHeight="1">
      <c r="F744" s="43"/>
    </row>
    <row r="745" ht="15.75" customHeight="1">
      <c r="F745" s="43"/>
    </row>
    <row r="746" ht="15.75" customHeight="1">
      <c r="F746" s="43"/>
    </row>
    <row r="747" ht="15.75" customHeight="1">
      <c r="F747" s="43"/>
    </row>
    <row r="748" ht="15.75" customHeight="1">
      <c r="F748" s="43"/>
    </row>
    <row r="749" ht="15.75" customHeight="1">
      <c r="F749" s="43"/>
    </row>
    <row r="750" ht="15.75" customHeight="1">
      <c r="F750" s="43"/>
    </row>
    <row r="751" ht="15.75" customHeight="1">
      <c r="F751" s="43"/>
    </row>
    <row r="752" ht="15.75" customHeight="1">
      <c r="F752" s="43"/>
    </row>
    <row r="753" ht="15.75" customHeight="1">
      <c r="F753" s="43"/>
    </row>
    <row r="754" ht="15.75" customHeight="1">
      <c r="F754" s="43"/>
    </row>
    <row r="755" ht="15.75" customHeight="1">
      <c r="F755" s="43"/>
    </row>
    <row r="756" ht="15.75" customHeight="1">
      <c r="F756" s="43"/>
    </row>
    <row r="757" ht="15.75" customHeight="1">
      <c r="F757" s="43"/>
    </row>
    <row r="758" ht="15.75" customHeight="1">
      <c r="F758" s="43"/>
    </row>
    <row r="759" ht="15.75" customHeight="1">
      <c r="F759" s="43"/>
    </row>
    <row r="760" ht="15.75" customHeight="1">
      <c r="F760" s="43"/>
    </row>
    <row r="761" ht="15.75" customHeight="1">
      <c r="F761" s="43"/>
    </row>
    <row r="762" ht="15.75" customHeight="1">
      <c r="F762" s="43"/>
    </row>
    <row r="763" ht="15.75" customHeight="1">
      <c r="F763" s="43"/>
    </row>
    <row r="764" ht="15.75" customHeight="1">
      <c r="F764" s="43"/>
    </row>
    <row r="765" ht="15.75" customHeight="1">
      <c r="F765" s="43"/>
    </row>
    <row r="766" ht="15.75" customHeight="1">
      <c r="F766" s="43"/>
    </row>
    <row r="767" ht="15.75" customHeight="1">
      <c r="F767" s="43"/>
    </row>
    <row r="768" ht="15.75" customHeight="1">
      <c r="F768" s="43"/>
    </row>
    <row r="769" ht="15.75" customHeight="1">
      <c r="F769" s="43"/>
    </row>
    <row r="770" ht="15.75" customHeight="1">
      <c r="F770" s="43"/>
    </row>
    <row r="771" ht="15.75" customHeight="1">
      <c r="F771" s="43"/>
    </row>
    <row r="772" ht="15.75" customHeight="1">
      <c r="F772" s="43"/>
    </row>
    <row r="773" ht="15.75" customHeight="1">
      <c r="F773" s="43"/>
    </row>
    <row r="774" ht="15.75" customHeight="1">
      <c r="F774" s="43"/>
    </row>
    <row r="775" ht="15.75" customHeight="1">
      <c r="F775" s="43"/>
    </row>
    <row r="776" ht="15.75" customHeight="1">
      <c r="F776" s="43"/>
    </row>
    <row r="777" ht="15.75" customHeight="1">
      <c r="F777" s="43"/>
    </row>
    <row r="778" ht="15.75" customHeight="1">
      <c r="F778" s="43"/>
    </row>
    <row r="779" ht="15.75" customHeight="1">
      <c r="F779" s="43"/>
    </row>
    <row r="780" ht="15.75" customHeight="1">
      <c r="F780" s="43"/>
    </row>
    <row r="781" ht="15.75" customHeight="1">
      <c r="F781" s="43"/>
    </row>
    <row r="782" ht="15.75" customHeight="1">
      <c r="F782" s="43"/>
    </row>
    <row r="783" ht="15.75" customHeight="1">
      <c r="F783" s="43"/>
    </row>
    <row r="784" ht="15.75" customHeight="1">
      <c r="F784" s="43"/>
    </row>
    <row r="785" ht="15.75" customHeight="1">
      <c r="F785" s="43"/>
    </row>
    <row r="786" ht="15.75" customHeight="1">
      <c r="F786" s="43"/>
    </row>
    <row r="787" ht="15.75" customHeight="1">
      <c r="F787" s="43"/>
    </row>
    <row r="788" ht="15.75" customHeight="1">
      <c r="F788" s="43"/>
    </row>
    <row r="789" ht="15.75" customHeight="1">
      <c r="F789" s="43"/>
    </row>
    <row r="790" ht="15.75" customHeight="1">
      <c r="F790" s="43"/>
    </row>
    <row r="791" ht="15.75" customHeight="1">
      <c r="F791" s="43"/>
    </row>
    <row r="792" ht="15.75" customHeight="1">
      <c r="F792" s="43"/>
    </row>
    <row r="793" ht="15.75" customHeight="1">
      <c r="F793" s="43"/>
    </row>
    <row r="794" ht="15.75" customHeight="1">
      <c r="F794" s="43"/>
    </row>
    <row r="795" ht="15.75" customHeight="1">
      <c r="F795" s="43"/>
    </row>
    <row r="796" ht="15.75" customHeight="1">
      <c r="F796" s="43"/>
    </row>
    <row r="797" ht="15.75" customHeight="1">
      <c r="F797" s="43"/>
    </row>
    <row r="798" ht="15.75" customHeight="1">
      <c r="F798" s="43"/>
    </row>
    <row r="799" ht="15.75" customHeight="1">
      <c r="F799" s="43"/>
    </row>
    <row r="800" ht="15.75" customHeight="1">
      <c r="F800" s="43"/>
    </row>
    <row r="801" ht="15.75" customHeight="1">
      <c r="F801" s="43"/>
    </row>
    <row r="802" ht="15.75" customHeight="1">
      <c r="F802" s="43"/>
    </row>
    <row r="803" ht="15.75" customHeight="1">
      <c r="F803" s="43"/>
    </row>
    <row r="804" ht="15.75" customHeight="1">
      <c r="F804" s="43"/>
    </row>
    <row r="805" ht="15.75" customHeight="1">
      <c r="F805" s="43"/>
    </row>
    <row r="806" ht="15.75" customHeight="1">
      <c r="F806" s="43"/>
    </row>
    <row r="807" ht="15.75" customHeight="1">
      <c r="F807" s="43"/>
    </row>
    <row r="808" ht="15.75" customHeight="1">
      <c r="F808" s="43"/>
    </row>
    <row r="809" ht="15.75" customHeight="1">
      <c r="F809" s="43"/>
    </row>
    <row r="810" ht="15.75" customHeight="1">
      <c r="F810" s="43"/>
    </row>
    <row r="811" ht="15.75" customHeight="1">
      <c r="F811" s="43"/>
    </row>
    <row r="812" ht="15.75" customHeight="1">
      <c r="F812" s="43"/>
    </row>
    <row r="813" ht="15.75" customHeight="1">
      <c r="F813" s="43"/>
    </row>
    <row r="814" ht="15.75" customHeight="1">
      <c r="F814" s="43"/>
    </row>
    <row r="815" ht="15.75" customHeight="1">
      <c r="F815" s="43"/>
    </row>
    <row r="816" ht="15.75" customHeight="1">
      <c r="F816" s="43"/>
    </row>
    <row r="817" ht="15.75" customHeight="1">
      <c r="F817" s="43"/>
    </row>
    <row r="818" ht="15.75" customHeight="1">
      <c r="F818" s="43"/>
    </row>
    <row r="819" ht="15.75" customHeight="1">
      <c r="F819" s="43"/>
    </row>
    <row r="820" ht="15.75" customHeight="1">
      <c r="F820" s="43"/>
    </row>
    <row r="821" ht="15.75" customHeight="1">
      <c r="F821" s="43"/>
    </row>
    <row r="822" ht="15.75" customHeight="1">
      <c r="F822" s="43"/>
    </row>
    <row r="823" ht="15.75" customHeight="1">
      <c r="F823" s="43"/>
    </row>
    <row r="824" ht="15.75" customHeight="1">
      <c r="F824" s="43"/>
    </row>
    <row r="825" ht="15.75" customHeight="1">
      <c r="F825" s="43"/>
    </row>
    <row r="826" ht="15.75" customHeight="1">
      <c r="F826" s="43"/>
    </row>
    <row r="827" ht="15.75" customHeight="1">
      <c r="F827" s="43"/>
    </row>
    <row r="828" ht="15.75" customHeight="1">
      <c r="F828" s="43"/>
    </row>
    <row r="829" ht="15.75" customHeight="1">
      <c r="F829" s="43"/>
    </row>
    <row r="830" ht="15.75" customHeight="1">
      <c r="F830" s="43"/>
    </row>
    <row r="831" ht="15.75" customHeight="1">
      <c r="F831" s="43"/>
    </row>
    <row r="832" ht="15.75" customHeight="1">
      <c r="F832" s="43"/>
    </row>
    <row r="833" ht="15.75" customHeight="1">
      <c r="F833" s="43"/>
    </row>
    <row r="834" ht="15.75" customHeight="1">
      <c r="F834" s="43"/>
    </row>
    <row r="835" ht="15.75" customHeight="1">
      <c r="F835" s="43"/>
    </row>
    <row r="836" ht="15.75" customHeight="1">
      <c r="F836" s="43"/>
    </row>
    <row r="837" ht="15.75" customHeight="1">
      <c r="F837" s="43"/>
    </row>
    <row r="838" ht="15.75" customHeight="1">
      <c r="F838" s="43"/>
    </row>
    <row r="839" ht="15.75" customHeight="1">
      <c r="F839" s="43"/>
    </row>
    <row r="840" ht="15.75" customHeight="1">
      <c r="F840" s="43"/>
    </row>
    <row r="841" ht="15.75" customHeight="1">
      <c r="F841" s="43"/>
    </row>
    <row r="842" ht="15.75" customHeight="1">
      <c r="F842" s="43"/>
    </row>
    <row r="843" ht="15.75" customHeight="1">
      <c r="F843" s="43"/>
    </row>
    <row r="844" ht="15.75" customHeight="1">
      <c r="F844" s="43"/>
    </row>
    <row r="845" ht="15.75" customHeight="1">
      <c r="F845" s="43"/>
    </row>
    <row r="846" ht="15.75" customHeight="1">
      <c r="F846" s="43"/>
    </row>
    <row r="847" ht="15.75" customHeight="1">
      <c r="F847" s="43"/>
    </row>
    <row r="848" ht="15.75" customHeight="1">
      <c r="F848" s="43"/>
    </row>
    <row r="849" ht="15.75" customHeight="1">
      <c r="F849" s="43"/>
    </row>
    <row r="850" ht="15.75" customHeight="1">
      <c r="F850" s="43"/>
    </row>
    <row r="851" ht="15.75" customHeight="1">
      <c r="F851" s="43"/>
    </row>
    <row r="852" ht="15.75" customHeight="1">
      <c r="F852" s="43"/>
    </row>
    <row r="853" ht="15.75" customHeight="1">
      <c r="F853" s="43"/>
    </row>
    <row r="854" ht="15.75" customHeight="1">
      <c r="F854" s="43"/>
    </row>
    <row r="855" ht="15.75" customHeight="1">
      <c r="F855" s="43"/>
    </row>
    <row r="856" ht="15.75" customHeight="1">
      <c r="F856" s="43"/>
    </row>
    <row r="857" ht="15.75" customHeight="1">
      <c r="F857" s="43"/>
    </row>
    <row r="858" ht="15.75" customHeight="1">
      <c r="F858" s="43"/>
    </row>
    <row r="859" ht="15.75" customHeight="1">
      <c r="F859" s="43"/>
    </row>
    <row r="860" ht="15.75" customHeight="1">
      <c r="F860" s="43"/>
    </row>
    <row r="861" ht="15.75" customHeight="1">
      <c r="F861" s="43"/>
    </row>
    <row r="862" ht="15.75" customHeight="1">
      <c r="F862" s="43"/>
    </row>
    <row r="863" ht="15.75" customHeight="1">
      <c r="F863" s="43"/>
    </row>
    <row r="864" ht="15.75" customHeight="1">
      <c r="F864" s="43"/>
    </row>
    <row r="865" ht="15.75" customHeight="1">
      <c r="F865" s="43"/>
    </row>
    <row r="866" ht="15.75" customHeight="1">
      <c r="F866" s="43"/>
    </row>
    <row r="867" ht="15.75" customHeight="1">
      <c r="F867" s="43"/>
    </row>
    <row r="868" ht="15.75" customHeight="1">
      <c r="F868" s="43"/>
    </row>
    <row r="869" ht="15.75" customHeight="1">
      <c r="F869" s="43"/>
    </row>
    <row r="870" ht="15.75" customHeight="1">
      <c r="F870" s="43"/>
    </row>
    <row r="871" ht="15.75" customHeight="1">
      <c r="F871" s="43"/>
    </row>
    <row r="872" ht="15.75" customHeight="1">
      <c r="F872" s="43"/>
    </row>
    <row r="873" ht="15.75" customHeight="1">
      <c r="F873" s="43"/>
    </row>
    <row r="874" ht="15.75" customHeight="1">
      <c r="F874" s="43"/>
    </row>
    <row r="875" ht="15.75" customHeight="1">
      <c r="F875" s="43"/>
    </row>
    <row r="876" ht="15.75" customHeight="1">
      <c r="F876" s="43"/>
    </row>
    <row r="877" ht="15.75" customHeight="1">
      <c r="F877" s="43"/>
    </row>
    <row r="878" ht="15.75" customHeight="1">
      <c r="F878" s="43"/>
    </row>
    <row r="879" ht="15.75" customHeight="1">
      <c r="F879" s="43"/>
    </row>
    <row r="880" ht="15.75" customHeight="1">
      <c r="F880" s="43"/>
    </row>
    <row r="881" ht="15.75" customHeight="1">
      <c r="F881" s="43"/>
    </row>
    <row r="882" ht="15.75" customHeight="1">
      <c r="F882" s="43"/>
    </row>
    <row r="883" ht="15.75" customHeight="1">
      <c r="F883" s="43"/>
    </row>
    <row r="884" ht="15.75" customHeight="1">
      <c r="F884" s="43"/>
    </row>
    <row r="885" ht="15.75" customHeight="1">
      <c r="F885" s="43"/>
    </row>
    <row r="886" ht="15.75" customHeight="1">
      <c r="F886" s="43"/>
    </row>
    <row r="887" ht="15.75" customHeight="1">
      <c r="F887" s="43"/>
    </row>
    <row r="888" ht="15.75" customHeight="1">
      <c r="F888" s="43"/>
    </row>
    <row r="889" ht="15.75" customHeight="1">
      <c r="F889" s="43"/>
    </row>
    <row r="890" ht="15.75" customHeight="1">
      <c r="F890" s="43"/>
    </row>
    <row r="891" ht="15.75" customHeight="1">
      <c r="F891" s="43"/>
    </row>
    <row r="892" ht="15.75" customHeight="1">
      <c r="F892" s="43"/>
    </row>
    <row r="893" ht="15.75" customHeight="1">
      <c r="F893" s="43"/>
    </row>
    <row r="894" ht="15.75" customHeight="1">
      <c r="F894" s="43"/>
    </row>
    <row r="895" ht="15.75" customHeight="1">
      <c r="F895" s="43"/>
    </row>
    <row r="896" ht="15.75" customHeight="1">
      <c r="F896" s="43"/>
    </row>
    <row r="897" ht="15.75" customHeight="1">
      <c r="F897" s="43"/>
    </row>
    <row r="898" ht="15.75" customHeight="1">
      <c r="F898" s="43"/>
    </row>
    <row r="899" ht="15.75" customHeight="1">
      <c r="F899" s="43"/>
    </row>
    <row r="900" ht="15.75" customHeight="1">
      <c r="F900" s="43"/>
    </row>
    <row r="901" ht="15.75" customHeight="1">
      <c r="F901" s="43"/>
    </row>
    <row r="902" ht="15.75" customHeight="1">
      <c r="F902" s="43"/>
    </row>
    <row r="903" ht="15.75" customHeight="1">
      <c r="F903" s="43"/>
    </row>
    <row r="904" ht="15.75" customHeight="1">
      <c r="F904" s="43"/>
    </row>
    <row r="905" ht="15.75" customHeight="1">
      <c r="F905" s="43"/>
    </row>
    <row r="906" ht="15.75" customHeight="1">
      <c r="F906" s="43"/>
    </row>
    <row r="907" ht="15.75" customHeight="1">
      <c r="F907" s="43"/>
    </row>
    <row r="908" ht="15.75" customHeight="1">
      <c r="F908" s="43"/>
    </row>
    <row r="909" ht="15.75" customHeight="1">
      <c r="F909" s="43"/>
    </row>
    <row r="910" ht="15.75" customHeight="1">
      <c r="F910" s="43"/>
    </row>
    <row r="911" ht="15.75" customHeight="1">
      <c r="F911" s="43"/>
    </row>
    <row r="912" ht="15.75" customHeight="1">
      <c r="F912" s="43"/>
    </row>
    <row r="913" ht="15.75" customHeight="1">
      <c r="F913" s="43"/>
    </row>
    <row r="914" ht="15.75" customHeight="1">
      <c r="F914" s="43"/>
    </row>
    <row r="915" ht="15.75" customHeight="1">
      <c r="F915" s="43"/>
    </row>
    <row r="916" ht="15.75" customHeight="1">
      <c r="F916" s="43"/>
    </row>
    <row r="917" ht="15.75" customHeight="1">
      <c r="F917" s="43"/>
    </row>
    <row r="918" ht="15.75" customHeight="1">
      <c r="F918" s="43"/>
    </row>
    <row r="919" ht="15.75" customHeight="1">
      <c r="F919" s="43"/>
    </row>
    <row r="920" ht="15.75" customHeight="1">
      <c r="F920" s="43"/>
    </row>
    <row r="921" ht="15.75" customHeight="1">
      <c r="F921" s="43"/>
    </row>
    <row r="922" ht="15.75" customHeight="1">
      <c r="F922" s="43"/>
    </row>
    <row r="923" ht="15.75" customHeight="1">
      <c r="F923" s="43"/>
    </row>
    <row r="924" ht="15.75" customHeight="1">
      <c r="F924" s="43"/>
    </row>
    <row r="925" ht="15.75" customHeight="1">
      <c r="F925" s="43"/>
    </row>
    <row r="926" ht="15.75" customHeight="1">
      <c r="F926" s="43"/>
    </row>
    <row r="927" ht="15.75" customHeight="1">
      <c r="F927" s="43"/>
    </row>
    <row r="928" ht="15.75" customHeight="1">
      <c r="F928" s="43"/>
    </row>
    <row r="929" ht="15.75" customHeight="1">
      <c r="F929" s="43"/>
    </row>
    <row r="930" ht="15.75" customHeight="1">
      <c r="F930" s="43"/>
    </row>
    <row r="931" ht="15.75" customHeight="1">
      <c r="F931" s="43"/>
    </row>
    <row r="932" ht="15.75" customHeight="1">
      <c r="F932" s="43"/>
    </row>
    <row r="933" ht="15.75" customHeight="1">
      <c r="F933" s="43"/>
    </row>
    <row r="934" ht="15.75" customHeight="1">
      <c r="F934" s="43"/>
    </row>
    <row r="935" ht="15.75" customHeight="1">
      <c r="F935" s="43"/>
    </row>
    <row r="936" ht="15.75" customHeight="1">
      <c r="F936" s="43"/>
    </row>
    <row r="937" ht="15.75" customHeight="1">
      <c r="F937" s="43"/>
    </row>
    <row r="938" ht="15.75" customHeight="1">
      <c r="F938" s="43"/>
    </row>
    <row r="939" ht="15.75" customHeight="1">
      <c r="F939" s="43"/>
    </row>
    <row r="940" ht="15.75" customHeight="1">
      <c r="F940" s="43"/>
    </row>
    <row r="941" ht="15.75" customHeight="1">
      <c r="F941" s="43"/>
    </row>
    <row r="942" ht="15.75" customHeight="1">
      <c r="F942" s="43"/>
    </row>
    <row r="943" ht="15.75" customHeight="1">
      <c r="F943" s="43"/>
    </row>
    <row r="944" ht="15.75" customHeight="1">
      <c r="F944" s="43"/>
    </row>
    <row r="945" ht="15.75" customHeight="1">
      <c r="F945" s="43"/>
    </row>
    <row r="946" ht="15.75" customHeight="1">
      <c r="F946" s="43"/>
    </row>
    <row r="947" ht="15.75" customHeight="1">
      <c r="F947" s="43"/>
    </row>
    <row r="948" ht="15.75" customHeight="1">
      <c r="F948" s="43"/>
    </row>
    <row r="949" ht="15.75" customHeight="1">
      <c r="F949" s="43"/>
    </row>
    <row r="950" ht="15.75" customHeight="1">
      <c r="F950" s="43"/>
    </row>
    <row r="951" ht="15.75" customHeight="1">
      <c r="F951" s="43"/>
    </row>
    <row r="952" ht="15.75" customHeight="1">
      <c r="F952" s="43"/>
    </row>
    <row r="953" ht="15.75" customHeight="1">
      <c r="F953" s="43"/>
    </row>
    <row r="954" ht="15.75" customHeight="1">
      <c r="F954" s="43"/>
    </row>
    <row r="955" ht="15.75" customHeight="1">
      <c r="F955" s="43"/>
    </row>
    <row r="956" ht="15.75" customHeight="1">
      <c r="F956" s="43"/>
    </row>
    <row r="957" ht="15.75" customHeight="1">
      <c r="F957" s="43"/>
    </row>
    <row r="958" ht="15.75" customHeight="1">
      <c r="F958" s="43"/>
    </row>
    <row r="959" ht="15.75" customHeight="1">
      <c r="F959" s="43"/>
    </row>
    <row r="960" ht="15.75" customHeight="1">
      <c r="F960" s="43"/>
    </row>
    <row r="961" ht="15.75" customHeight="1">
      <c r="F961" s="43"/>
    </row>
    <row r="962" ht="15.75" customHeight="1">
      <c r="F962" s="43"/>
    </row>
    <row r="963" ht="15.75" customHeight="1">
      <c r="F963" s="43"/>
    </row>
    <row r="964" ht="15.75" customHeight="1">
      <c r="F964" s="43"/>
    </row>
    <row r="965" ht="15.75" customHeight="1">
      <c r="F965" s="43"/>
    </row>
    <row r="966" ht="15.75" customHeight="1">
      <c r="F966" s="43"/>
    </row>
    <row r="967" ht="15.75" customHeight="1">
      <c r="F967" s="43"/>
    </row>
    <row r="968" ht="15.75" customHeight="1">
      <c r="F968" s="43"/>
    </row>
    <row r="969" ht="15.75" customHeight="1">
      <c r="F969" s="43"/>
    </row>
    <row r="970" ht="15.75" customHeight="1">
      <c r="F970" s="43"/>
    </row>
    <row r="971" ht="15.75" customHeight="1">
      <c r="F971" s="43"/>
    </row>
    <row r="972" ht="15.75" customHeight="1">
      <c r="F972" s="43"/>
    </row>
    <row r="973" ht="15.75" customHeight="1">
      <c r="F973" s="43"/>
    </row>
    <row r="974" ht="15.75" customHeight="1">
      <c r="F974" s="43"/>
    </row>
    <row r="975" ht="15.75" customHeight="1">
      <c r="F975" s="43"/>
    </row>
    <row r="976" ht="15.75" customHeight="1">
      <c r="F976" s="43"/>
    </row>
    <row r="977" ht="15.75" customHeight="1">
      <c r="F977" s="43"/>
    </row>
    <row r="978" ht="15.75" customHeight="1">
      <c r="F978" s="43"/>
    </row>
    <row r="979" ht="15.75" customHeight="1">
      <c r="F979" s="43"/>
    </row>
    <row r="980" ht="15.75" customHeight="1">
      <c r="F980" s="43"/>
    </row>
    <row r="981" ht="15.75" customHeight="1">
      <c r="F981" s="43"/>
    </row>
    <row r="982" ht="15.75" customHeight="1">
      <c r="F982" s="43"/>
    </row>
    <row r="983" ht="15.75" customHeight="1">
      <c r="F983" s="43"/>
    </row>
    <row r="984" ht="15.75" customHeight="1">
      <c r="F984" s="43"/>
    </row>
    <row r="985" ht="15.75" customHeight="1">
      <c r="F985" s="43"/>
    </row>
    <row r="986" ht="15.75" customHeight="1">
      <c r="F986" s="43"/>
    </row>
    <row r="987" ht="15.75" customHeight="1">
      <c r="F987" s="43"/>
    </row>
    <row r="988" ht="15.75" customHeight="1">
      <c r="F988" s="43"/>
    </row>
    <row r="989" ht="15.75" customHeight="1">
      <c r="F989" s="43"/>
    </row>
    <row r="990" ht="15.75" customHeight="1">
      <c r="F990" s="43"/>
    </row>
    <row r="991" ht="15.75" customHeight="1">
      <c r="F991" s="43"/>
    </row>
    <row r="992" ht="15.75" customHeight="1">
      <c r="F992" s="43"/>
    </row>
    <row r="993" ht="15.75" customHeight="1">
      <c r="F993" s="43"/>
    </row>
    <row r="994" ht="15.75" customHeight="1">
      <c r="F994" s="43"/>
    </row>
    <row r="995" ht="15.75" customHeight="1">
      <c r="F995" s="43"/>
    </row>
    <row r="996" ht="15.75" customHeight="1">
      <c r="F996" s="43"/>
    </row>
    <row r="997" ht="15.75" customHeight="1">
      <c r="F997" s="43"/>
    </row>
    <row r="998" ht="15.75" customHeight="1">
      <c r="F998" s="43"/>
    </row>
    <row r="999" ht="15.75" customHeight="1">
      <c r="F999" s="43"/>
    </row>
    <row r="1000" ht="15.75" customHeight="1">
      <c r="F1000" s="43"/>
    </row>
    <row r="1001" ht="15.75" customHeight="1">
      <c r="F1001" s="43"/>
    </row>
  </sheetData>
  <autoFilter ref="$A$4:$F$158">
    <filterColumn colId="5">
      <customFilters>
        <customFilter operator="greaterThan" val="0"/>
      </customFilters>
    </filterColumn>
  </autoFilter>
  <mergeCells count="10">
    <mergeCell ref="A138:B138"/>
    <mergeCell ref="A152:B152"/>
    <mergeCell ref="A159:B159"/>
    <mergeCell ref="C1:D1"/>
    <mergeCell ref="E1:F1"/>
    <mergeCell ref="C3:F3"/>
    <mergeCell ref="A6:B6"/>
    <mergeCell ref="A32:B32"/>
    <mergeCell ref="A88:B88"/>
    <mergeCell ref="A125:B125"/>
  </mergeCells>
  <printOptions/>
  <pageMargins bottom="0.787401575" footer="0.0" header="0.0" left="0.7" right="0.7" top="0.7874015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51.43"/>
    <col customWidth="1" min="3" max="3" width="6.29"/>
    <col customWidth="1" min="4" max="4" width="6.14"/>
    <col customWidth="1" min="5" max="5" width="8.0"/>
    <col customWidth="1" min="6" max="6" width="15.86"/>
    <col customWidth="1" min="7" max="26" width="8.86"/>
  </cols>
  <sheetData>
    <row r="1">
      <c r="A1" s="1"/>
      <c r="B1" s="2"/>
      <c r="C1" s="3"/>
      <c r="E1" s="3"/>
    </row>
    <row r="2">
      <c r="A2" s="1"/>
      <c r="B2" s="4" t="s">
        <v>0</v>
      </c>
      <c r="C2" s="5" t="s">
        <v>1</v>
      </c>
      <c r="D2" s="6">
        <v>2026.0</v>
      </c>
      <c r="E2" s="3"/>
      <c r="F2" s="3"/>
    </row>
    <row r="3">
      <c r="A3" s="1"/>
      <c r="B3" s="2" t="s">
        <v>2</v>
      </c>
      <c r="C3" s="7" t="s">
        <v>3</v>
      </c>
    </row>
    <row r="4">
      <c r="A4" s="1"/>
      <c r="B4" s="2"/>
      <c r="C4" s="8"/>
      <c r="D4" s="8"/>
      <c r="E4" s="3"/>
      <c r="F4" s="3"/>
    </row>
    <row r="5" hidden="1">
      <c r="C5" s="9" t="s">
        <v>4</v>
      </c>
      <c r="D5" s="10" t="s">
        <v>5</v>
      </c>
      <c r="E5" s="10" t="s">
        <v>6</v>
      </c>
      <c r="F5" s="11" t="s">
        <v>7</v>
      </c>
    </row>
    <row r="6">
      <c r="A6" s="12" t="s">
        <v>8</v>
      </c>
      <c r="B6" s="13"/>
      <c r="C6" s="14">
        <v>1.0</v>
      </c>
      <c r="D6" s="15"/>
      <c r="E6" s="15"/>
      <c r="F6" s="16">
        <f>IF(SUM(F7:F30)&gt;0,1,0)</f>
        <v>1</v>
      </c>
    </row>
    <row r="7" hidden="1">
      <c r="A7" s="17"/>
      <c r="B7" s="18" t="s">
        <v>9</v>
      </c>
      <c r="C7" s="19">
        <f t="shared" ref="C7:C8" si="1">$C$6</f>
        <v>1</v>
      </c>
      <c r="D7" s="20">
        <v>0.0</v>
      </c>
      <c r="E7" s="21">
        <v>12000.0</v>
      </c>
      <c r="F7" s="22">
        <f t="shared" ref="F7:F30" si="2">D7*E7*C7</f>
        <v>0</v>
      </c>
    </row>
    <row r="8" hidden="1">
      <c r="A8" s="18"/>
      <c r="B8" s="21" t="s">
        <v>10</v>
      </c>
      <c r="C8" s="19">
        <f t="shared" si="1"/>
        <v>1</v>
      </c>
      <c r="D8" s="20">
        <v>0.0</v>
      </c>
      <c r="E8" s="21">
        <v>15000.0</v>
      </c>
      <c r="F8" s="22">
        <f t="shared" si="2"/>
        <v>0</v>
      </c>
    </row>
    <row r="9" hidden="1">
      <c r="A9" s="18"/>
      <c r="B9" s="18" t="s">
        <v>11</v>
      </c>
      <c r="C9" s="23">
        <v>1.0</v>
      </c>
      <c r="D9" s="20">
        <v>0.0</v>
      </c>
      <c r="E9" s="21">
        <v>30000.0</v>
      </c>
      <c r="F9" s="22">
        <f t="shared" si="2"/>
        <v>0</v>
      </c>
    </row>
    <row r="10" hidden="1">
      <c r="A10" s="18"/>
      <c r="B10" s="18" t="s">
        <v>12</v>
      </c>
      <c r="C10" s="19">
        <f t="shared" ref="C10:C14" si="3">$C$6</f>
        <v>1</v>
      </c>
      <c r="D10" s="20">
        <v>0.0</v>
      </c>
      <c r="E10" s="21">
        <v>35000.0</v>
      </c>
      <c r="F10" s="22">
        <f t="shared" si="2"/>
        <v>0</v>
      </c>
    </row>
    <row r="11" hidden="1">
      <c r="A11" s="18"/>
      <c r="B11" s="18" t="s">
        <v>13</v>
      </c>
      <c r="C11" s="19">
        <f t="shared" si="3"/>
        <v>1</v>
      </c>
      <c r="D11" s="20">
        <v>0.0</v>
      </c>
      <c r="E11" s="21">
        <v>40000.0</v>
      </c>
      <c r="F11" s="22">
        <f t="shared" si="2"/>
        <v>0</v>
      </c>
    </row>
    <row r="12" hidden="1">
      <c r="A12" s="18"/>
      <c r="B12" s="18" t="s">
        <v>14</v>
      </c>
      <c r="C12" s="19">
        <f t="shared" si="3"/>
        <v>1</v>
      </c>
      <c r="D12" s="20">
        <v>0.0</v>
      </c>
      <c r="E12" s="21">
        <v>50000.0</v>
      </c>
      <c r="F12" s="22">
        <f t="shared" si="2"/>
        <v>0</v>
      </c>
    </row>
    <row r="13" hidden="1">
      <c r="A13" s="18"/>
      <c r="B13" s="18" t="s">
        <v>15</v>
      </c>
      <c r="C13" s="19">
        <f t="shared" si="3"/>
        <v>1</v>
      </c>
      <c r="D13" s="20">
        <v>0.0</v>
      </c>
      <c r="E13" s="21">
        <v>80000.0</v>
      </c>
      <c r="F13" s="22">
        <f t="shared" si="2"/>
        <v>0</v>
      </c>
    </row>
    <row r="14" hidden="1">
      <c r="A14" s="21"/>
      <c r="B14" s="21" t="s">
        <v>16</v>
      </c>
      <c r="C14" s="19">
        <f t="shared" si="3"/>
        <v>1</v>
      </c>
      <c r="D14" s="20">
        <v>0.0</v>
      </c>
      <c r="E14" s="21">
        <v>1000.0</v>
      </c>
      <c r="F14" s="22">
        <f t="shared" si="2"/>
        <v>0</v>
      </c>
    </row>
    <row r="15" hidden="1">
      <c r="A15" s="21"/>
      <c r="B15" s="21" t="s">
        <v>17</v>
      </c>
      <c r="C15" s="23">
        <v>1.0</v>
      </c>
      <c r="D15" s="20">
        <v>0.0</v>
      </c>
      <c r="E15" s="21">
        <v>1500.0</v>
      </c>
      <c r="F15" s="22">
        <f t="shared" si="2"/>
        <v>0</v>
      </c>
    </row>
    <row r="16" hidden="1">
      <c r="A16" s="21"/>
      <c r="B16" s="21" t="s">
        <v>18</v>
      </c>
      <c r="C16" s="19">
        <f t="shared" ref="C16:C30" si="4">$C$6</f>
        <v>1</v>
      </c>
      <c r="D16" s="20">
        <v>0.0</v>
      </c>
      <c r="E16" s="21">
        <v>1000.0</v>
      </c>
      <c r="F16" s="22">
        <f t="shared" si="2"/>
        <v>0</v>
      </c>
    </row>
    <row r="17" hidden="1">
      <c r="A17" s="21"/>
      <c r="B17" s="21" t="s">
        <v>19</v>
      </c>
      <c r="C17" s="19">
        <f t="shared" si="4"/>
        <v>1</v>
      </c>
      <c r="D17" s="20">
        <v>0.0</v>
      </c>
      <c r="E17" s="21">
        <v>1200.0</v>
      </c>
      <c r="F17" s="22">
        <f t="shared" si="2"/>
        <v>0</v>
      </c>
    </row>
    <row r="18" hidden="1">
      <c r="A18" s="21"/>
      <c r="B18" s="21" t="s">
        <v>20</v>
      </c>
      <c r="C18" s="19">
        <f t="shared" si="4"/>
        <v>1</v>
      </c>
      <c r="D18" s="20">
        <v>0.0</v>
      </c>
      <c r="E18" s="21">
        <v>2000.0</v>
      </c>
      <c r="F18" s="22">
        <f t="shared" si="2"/>
        <v>0</v>
      </c>
    </row>
    <row r="19" hidden="1">
      <c r="A19" s="21"/>
      <c r="B19" s="21" t="s">
        <v>21</v>
      </c>
      <c r="C19" s="19">
        <f t="shared" si="4"/>
        <v>1</v>
      </c>
      <c r="D19" s="20">
        <v>0.0</v>
      </c>
      <c r="E19" s="21">
        <v>5000.0</v>
      </c>
      <c r="F19" s="22">
        <f t="shared" si="2"/>
        <v>0</v>
      </c>
    </row>
    <row r="20">
      <c r="A20" s="21"/>
      <c r="B20" s="21" t="s">
        <v>22</v>
      </c>
      <c r="C20" s="19">
        <f t="shared" si="4"/>
        <v>1</v>
      </c>
      <c r="D20" s="20">
        <v>35.0</v>
      </c>
      <c r="E20" s="21">
        <v>350.0</v>
      </c>
      <c r="F20" s="22">
        <f t="shared" si="2"/>
        <v>12250</v>
      </c>
    </row>
    <row r="21" ht="15.75" hidden="1" customHeight="1">
      <c r="A21" s="21"/>
      <c r="B21" s="21" t="s">
        <v>23</v>
      </c>
      <c r="C21" s="19">
        <f t="shared" si="4"/>
        <v>1</v>
      </c>
      <c r="D21" s="20">
        <v>0.0</v>
      </c>
      <c r="E21" s="21">
        <v>14000.0</v>
      </c>
      <c r="F21" s="22">
        <f t="shared" si="2"/>
        <v>0</v>
      </c>
    </row>
    <row r="22" ht="15.75" hidden="1" customHeight="1">
      <c r="A22" s="21"/>
      <c r="B22" s="21" t="s">
        <v>24</v>
      </c>
      <c r="C22" s="19">
        <f t="shared" si="4"/>
        <v>1</v>
      </c>
      <c r="D22" s="20">
        <v>0.0</v>
      </c>
      <c r="E22" s="21">
        <v>750.0</v>
      </c>
      <c r="F22" s="22">
        <f t="shared" si="2"/>
        <v>0</v>
      </c>
    </row>
    <row r="23" ht="15.75" hidden="1" customHeight="1">
      <c r="A23" s="21"/>
      <c r="B23" s="21" t="s">
        <v>25</v>
      </c>
      <c r="C23" s="19">
        <f t="shared" si="4"/>
        <v>1</v>
      </c>
      <c r="D23" s="20">
        <v>0.0</v>
      </c>
      <c r="E23" s="21"/>
      <c r="F23" s="22">
        <f t="shared" si="2"/>
        <v>0</v>
      </c>
    </row>
    <row r="24" ht="15.75" hidden="1" customHeight="1">
      <c r="A24" s="21"/>
      <c r="B24" s="21" t="s">
        <v>26</v>
      </c>
      <c r="C24" s="19">
        <f t="shared" si="4"/>
        <v>1</v>
      </c>
      <c r="D24" s="20">
        <v>0.0</v>
      </c>
      <c r="E24" s="21">
        <v>50.0</v>
      </c>
      <c r="F24" s="22">
        <f t="shared" si="2"/>
        <v>0</v>
      </c>
    </row>
    <row r="25" ht="15.75" hidden="1" customHeight="1">
      <c r="A25" s="21"/>
      <c r="B25" s="21" t="s">
        <v>27</v>
      </c>
      <c r="C25" s="19">
        <f t="shared" si="4"/>
        <v>1</v>
      </c>
      <c r="D25" s="20">
        <v>0.0</v>
      </c>
      <c r="E25" s="21">
        <v>5000.0</v>
      </c>
      <c r="F25" s="22">
        <f t="shared" si="2"/>
        <v>0</v>
      </c>
    </row>
    <row r="26" ht="15.75" hidden="1" customHeight="1">
      <c r="A26" s="21"/>
      <c r="B26" s="21" t="s">
        <v>28</v>
      </c>
      <c r="C26" s="19">
        <f t="shared" si="4"/>
        <v>1</v>
      </c>
      <c r="D26" s="20">
        <v>0.0</v>
      </c>
      <c r="E26" s="21">
        <v>3000.0</v>
      </c>
      <c r="F26" s="22">
        <f t="shared" si="2"/>
        <v>0</v>
      </c>
    </row>
    <row r="27" ht="15.75" customHeight="1">
      <c r="A27" s="21"/>
      <c r="B27" s="20" t="s">
        <v>29</v>
      </c>
      <c r="C27" s="19">
        <f t="shared" si="4"/>
        <v>1</v>
      </c>
      <c r="D27" s="20">
        <v>4.0</v>
      </c>
      <c r="E27" s="20">
        <v>1000.0</v>
      </c>
      <c r="F27" s="22">
        <f t="shared" si="2"/>
        <v>4000</v>
      </c>
    </row>
    <row r="28" ht="15.75" hidden="1" customHeight="1">
      <c r="A28" s="21"/>
      <c r="B28" s="21" t="s">
        <v>30</v>
      </c>
      <c r="C28" s="19">
        <f t="shared" si="4"/>
        <v>1</v>
      </c>
      <c r="D28" s="20">
        <v>0.0</v>
      </c>
      <c r="E28" s="21">
        <v>200.0</v>
      </c>
      <c r="F28" s="22">
        <f t="shared" si="2"/>
        <v>0</v>
      </c>
    </row>
    <row r="29" ht="15.75" hidden="1" customHeight="1">
      <c r="A29" s="21"/>
      <c r="B29" s="21" t="s">
        <v>31</v>
      </c>
      <c r="C29" s="19">
        <f t="shared" si="4"/>
        <v>1</v>
      </c>
      <c r="D29" s="20">
        <v>0.0</v>
      </c>
      <c r="E29" s="21">
        <v>500.0</v>
      </c>
      <c r="F29" s="22">
        <f t="shared" si="2"/>
        <v>0</v>
      </c>
    </row>
    <row r="30" ht="15.75" hidden="1" customHeight="1">
      <c r="A30" s="21"/>
      <c r="B30" s="21" t="s">
        <v>26</v>
      </c>
      <c r="C30" s="19">
        <f t="shared" si="4"/>
        <v>1</v>
      </c>
      <c r="D30" s="20">
        <v>0.0</v>
      </c>
      <c r="E30" s="21">
        <v>50.0</v>
      </c>
      <c r="F30" s="22">
        <f t="shared" si="2"/>
        <v>0</v>
      </c>
    </row>
    <row r="31" ht="15.75" hidden="1" customHeight="1">
      <c r="A31" s="21"/>
      <c r="B31" s="21"/>
      <c r="C31" s="19"/>
      <c r="D31" s="21"/>
      <c r="E31" s="21"/>
      <c r="F31" s="22"/>
    </row>
    <row r="32" ht="15.75" customHeight="1">
      <c r="A32" s="12" t="s">
        <v>32</v>
      </c>
      <c r="B32" s="13"/>
      <c r="C32" s="24"/>
      <c r="D32" s="25"/>
      <c r="E32" s="25"/>
      <c r="F32" s="26">
        <f>IF(SUM(F34:F87)&gt;0,1,0)</f>
        <v>1</v>
      </c>
    </row>
    <row r="33" ht="15.75" customHeight="1">
      <c r="A33" s="21"/>
      <c r="B33" s="27" t="s">
        <v>33</v>
      </c>
      <c r="C33" s="19"/>
      <c r="D33" s="21"/>
      <c r="E33" s="21"/>
      <c r="F33" s="28">
        <f>IF(SUM(F34:F44)&gt;0,1,0)</f>
        <v>1</v>
      </c>
    </row>
    <row r="34" ht="15.75" hidden="1" customHeight="1">
      <c r="A34" s="21"/>
      <c r="B34" s="21" t="s">
        <v>34</v>
      </c>
      <c r="C34" s="19">
        <f t="shared" ref="C34:C41" si="5">$C$6</f>
        <v>1</v>
      </c>
      <c r="D34" s="29">
        <v>0.0</v>
      </c>
      <c r="E34" s="21">
        <v>1500.0</v>
      </c>
      <c r="F34" s="22">
        <f t="shared" ref="F34:F44" si="6">C34*D34*E34</f>
        <v>0</v>
      </c>
    </row>
    <row r="35" ht="15.75" hidden="1" customHeight="1">
      <c r="A35" s="21"/>
      <c r="B35" s="21" t="s">
        <v>35</v>
      </c>
      <c r="C35" s="19">
        <f t="shared" si="5"/>
        <v>1</v>
      </c>
      <c r="D35" s="29">
        <v>0.0</v>
      </c>
      <c r="E35" s="21">
        <v>1500.0</v>
      </c>
      <c r="F35" s="22">
        <f t="shared" si="6"/>
        <v>0</v>
      </c>
    </row>
    <row r="36" ht="15.75" customHeight="1">
      <c r="A36" s="21"/>
      <c r="B36" s="21" t="s">
        <v>36</v>
      </c>
      <c r="C36" s="19">
        <f t="shared" si="5"/>
        <v>1</v>
      </c>
      <c r="D36" s="20">
        <v>6.0</v>
      </c>
      <c r="E36" s="21">
        <v>1500.0</v>
      </c>
      <c r="F36" s="22">
        <f t="shared" si="6"/>
        <v>9000</v>
      </c>
    </row>
    <row r="37" ht="15.75" hidden="1" customHeight="1">
      <c r="A37" s="21"/>
      <c r="B37" s="21" t="s">
        <v>37</v>
      </c>
      <c r="C37" s="19">
        <f t="shared" si="5"/>
        <v>1</v>
      </c>
      <c r="D37" s="20">
        <v>0.0</v>
      </c>
      <c r="E37" s="21">
        <v>2000.0</v>
      </c>
      <c r="F37" s="22">
        <f t="shared" si="6"/>
        <v>0</v>
      </c>
    </row>
    <row r="38" ht="15.75" hidden="1" customHeight="1">
      <c r="A38" s="21"/>
      <c r="B38" s="21" t="s">
        <v>38</v>
      </c>
      <c r="C38" s="19">
        <f t="shared" si="5"/>
        <v>1</v>
      </c>
      <c r="D38" s="29">
        <v>0.0</v>
      </c>
      <c r="E38" s="21">
        <v>1200.0</v>
      </c>
      <c r="F38" s="22">
        <f t="shared" si="6"/>
        <v>0</v>
      </c>
    </row>
    <row r="39" ht="15.75" hidden="1" customHeight="1">
      <c r="A39" s="21"/>
      <c r="B39" s="21" t="s">
        <v>39</v>
      </c>
      <c r="C39" s="19">
        <f t="shared" si="5"/>
        <v>1</v>
      </c>
      <c r="D39" s="20">
        <v>0.0</v>
      </c>
      <c r="E39" s="21">
        <v>1800.0</v>
      </c>
      <c r="F39" s="22">
        <f t="shared" si="6"/>
        <v>0</v>
      </c>
    </row>
    <row r="40" ht="15.75" customHeight="1">
      <c r="A40" s="21"/>
      <c r="B40" s="21" t="s">
        <v>40</v>
      </c>
      <c r="C40" s="19">
        <f t="shared" si="5"/>
        <v>1</v>
      </c>
      <c r="D40" s="20">
        <v>2.0</v>
      </c>
      <c r="E40" s="21">
        <v>800.0</v>
      </c>
      <c r="F40" s="22">
        <f t="shared" si="6"/>
        <v>1600</v>
      </c>
    </row>
    <row r="41" ht="15.75" hidden="1" customHeight="1">
      <c r="A41" s="21"/>
      <c r="B41" s="21" t="s">
        <v>41</v>
      </c>
      <c r="C41" s="19">
        <f t="shared" si="5"/>
        <v>1</v>
      </c>
      <c r="D41" s="29">
        <v>0.0</v>
      </c>
      <c r="E41" s="21">
        <v>700.0</v>
      </c>
      <c r="F41" s="22">
        <f t="shared" si="6"/>
        <v>0</v>
      </c>
    </row>
    <row r="42" ht="15.75" customHeight="1">
      <c r="A42" s="21"/>
      <c r="B42" s="21" t="s">
        <v>42</v>
      </c>
      <c r="C42" s="19">
        <v>1.0</v>
      </c>
      <c r="D42" s="20">
        <v>8.0</v>
      </c>
      <c r="E42" s="21">
        <v>1400.0</v>
      </c>
      <c r="F42" s="22">
        <f t="shared" si="6"/>
        <v>11200</v>
      </c>
    </row>
    <row r="43" ht="15.75" hidden="1" customHeight="1">
      <c r="A43" s="21"/>
      <c r="B43" s="21" t="s">
        <v>43</v>
      </c>
      <c r="C43" s="19">
        <f t="shared" ref="C43:C44" si="7">$C$6</f>
        <v>1</v>
      </c>
      <c r="D43" s="20">
        <v>0.0</v>
      </c>
      <c r="E43" s="21">
        <v>600.0</v>
      </c>
      <c r="F43" s="22">
        <f t="shared" si="6"/>
        <v>0</v>
      </c>
    </row>
    <row r="44" ht="15.75" hidden="1" customHeight="1">
      <c r="A44" s="21"/>
      <c r="B44" s="21" t="s">
        <v>44</v>
      </c>
      <c r="C44" s="19">
        <f t="shared" si="7"/>
        <v>1</v>
      </c>
      <c r="D44" s="20">
        <v>0.0</v>
      </c>
      <c r="E44" s="21">
        <v>500.0</v>
      </c>
      <c r="F44" s="22">
        <f t="shared" si="6"/>
        <v>0</v>
      </c>
    </row>
    <row r="45" ht="15.75" hidden="1" customHeight="1">
      <c r="A45" s="21"/>
      <c r="B45" s="21"/>
      <c r="C45" s="19"/>
      <c r="D45" s="21"/>
      <c r="E45" s="21"/>
      <c r="F45" s="22"/>
    </row>
    <row r="46" ht="15.75" customHeight="1">
      <c r="A46" s="21"/>
      <c r="B46" s="27" t="s">
        <v>45</v>
      </c>
      <c r="C46" s="19"/>
      <c r="D46" s="21"/>
      <c r="E46" s="21"/>
      <c r="F46" s="28">
        <f>IF(SUM(F48:F56)&gt;0,1,0)</f>
        <v>1</v>
      </c>
    </row>
    <row r="47" ht="15.75" hidden="1" customHeight="1">
      <c r="A47" s="21"/>
      <c r="B47" s="21" t="s">
        <v>46</v>
      </c>
      <c r="C47" s="19">
        <f t="shared" ref="C47:C49" si="8">$C$6</f>
        <v>1</v>
      </c>
      <c r="D47" s="20">
        <v>0.0</v>
      </c>
      <c r="E47" s="21">
        <v>1000.0</v>
      </c>
      <c r="F47" s="22">
        <f t="shared" ref="F47:F49" si="9">D47*E47*C47</f>
        <v>0</v>
      </c>
    </row>
    <row r="48" ht="15.75" customHeight="1">
      <c r="A48" s="21"/>
      <c r="B48" s="21" t="s">
        <v>47</v>
      </c>
      <c r="C48" s="19">
        <f t="shared" si="8"/>
        <v>1</v>
      </c>
      <c r="D48" s="20">
        <v>1.0</v>
      </c>
      <c r="E48" s="21">
        <v>1600.0</v>
      </c>
      <c r="F48" s="22">
        <f t="shared" si="9"/>
        <v>1600</v>
      </c>
    </row>
    <row r="49" ht="15.75" customHeight="1">
      <c r="A49" s="21"/>
      <c r="B49" s="21" t="s">
        <v>48</v>
      </c>
      <c r="C49" s="19">
        <f t="shared" si="8"/>
        <v>1</v>
      </c>
      <c r="D49" s="20">
        <v>1.0</v>
      </c>
      <c r="E49" s="21">
        <v>2600.0</v>
      </c>
      <c r="F49" s="22">
        <f t="shared" si="9"/>
        <v>2600</v>
      </c>
    </row>
    <row r="50" ht="15.75" customHeight="1">
      <c r="A50" s="21"/>
      <c r="B50" s="27" t="s">
        <v>49</v>
      </c>
      <c r="C50" s="19"/>
      <c r="D50" s="21"/>
      <c r="E50" s="21"/>
      <c r="F50" s="28">
        <f>IF(SUM(F51:F56)&gt;0,1,0)</f>
        <v>1</v>
      </c>
    </row>
    <row r="51" ht="15.75" hidden="1" customHeight="1">
      <c r="A51" s="21"/>
      <c r="B51" s="21" t="s">
        <v>50</v>
      </c>
      <c r="C51" s="19">
        <f>$C$6</f>
        <v>1</v>
      </c>
      <c r="D51" s="29">
        <v>0.0</v>
      </c>
      <c r="E51" s="21">
        <v>400.0</v>
      </c>
      <c r="F51" s="22">
        <f t="shared" ref="F51:F56" si="10">D51*E51*C51</f>
        <v>0</v>
      </c>
    </row>
    <row r="52" ht="15.75" customHeight="1">
      <c r="A52" s="21"/>
      <c r="B52" s="21" t="s">
        <v>51</v>
      </c>
      <c r="C52" s="19">
        <v>1.0</v>
      </c>
      <c r="D52" s="20">
        <v>2.0</v>
      </c>
      <c r="E52" s="21">
        <v>400.0</v>
      </c>
      <c r="F52" s="22">
        <f t="shared" si="10"/>
        <v>800</v>
      </c>
    </row>
    <row r="53" ht="15.75" hidden="1" customHeight="1">
      <c r="A53" s="21"/>
      <c r="B53" s="21" t="s">
        <v>52</v>
      </c>
      <c r="C53" s="19">
        <f t="shared" ref="C53:C56" si="11">$C$6</f>
        <v>1</v>
      </c>
      <c r="D53" s="20">
        <v>0.0</v>
      </c>
      <c r="E53" s="21">
        <v>500.0</v>
      </c>
      <c r="F53" s="22">
        <f t="shared" si="10"/>
        <v>0</v>
      </c>
    </row>
    <row r="54" ht="15.75" customHeight="1">
      <c r="A54" s="21"/>
      <c r="B54" s="21" t="s">
        <v>53</v>
      </c>
      <c r="C54" s="19">
        <f t="shared" si="11"/>
        <v>1</v>
      </c>
      <c r="D54" s="20">
        <v>1.0</v>
      </c>
      <c r="E54" s="21">
        <v>1000.0</v>
      </c>
      <c r="F54" s="22">
        <f t="shared" si="10"/>
        <v>1000</v>
      </c>
    </row>
    <row r="55" ht="15.75" hidden="1" customHeight="1">
      <c r="A55" s="21"/>
      <c r="B55" s="21" t="s">
        <v>54</v>
      </c>
      <c r="C55" s="19">
        <f t="shared" si="11"/>
        <v>1</v>
      </c>
      <c r="D55" s="20">
        <v>0.0</v>
      </c>
      <c r="E55" s="21">
        <v>1500.0</v>
      </c>
      <c r="F55" s="22">
        <f t="shared" si="10"/>
        <v>0</v>
      </c>
    </row>
    <row r="56" ht="15.75" hidden="1" customHeight="1">
      <c r="A56" s="21"/>
      <c r="B56" s="21" t="s">
        <v>55</v>
      </c>
      <c r="C56" s="19">
        <f t="shared" si="11"/>
        <v>1</v>
      </c>
      <c r="D56" s="29">
        <v>0.0</v>
      </c>
      <c r="E56" s="21">
        <v>2000.0</v>
      </c>
      <c r="F56" s="22">
        <f t="shared" si="10"/>
        <v>0</v>
      </c>
    </row>
    <row r="57" ht="15.75" hidden="1" customHeight="1">
      <c r="A57" s="21"/>
      <c r="B57" s="21"/>
      <c r="C57" s="19"/>
      <c r="D57" s="21"/>
      <c r="E57" s="21"/>
      <c r="F57" s="22"/>
    </row>
    <row r="58" ht="15.75" customHeight="1">
      <c r="A58" s="21"/>
      <c r="B58" s="27" t="s">
        <v>56</v>
      </c>
      <c r="C58" s="19"/>
      <c r="D58" s="21"/>
      <c r="E58" s="21"/>
      <c r="F58" s="28">
        <f>IF(SUM(F59:F63)&gt;0,1,0)</f>
        <v>1</v>
      </c>
    </row>
    <row r="59" ht="15.75" hidden="1" customHeight="1">
      <c r="A59" s="21"/>
      <c r="B59" s="18" t="s">
        <v>57</v>
      </c>
      <c r="C59" s="19">
        <f t="shared" ref="C59:C63" si="12">$C$6</f>
        <v>1</v>
      </c>
      <c r="D59" s="29">
        <v>0.0</v>
      </c>
      <c r="E59" s="21">
        <v>1000.0</v>
      </c>
      <c r="F59" s="22">
        <f t="shared" ref="F59:F63" si="13">D59*E59*C59</f>
        <v>0</v>
      </c>
    </row>
    <row r="60" ht="15.75" hidden="1" customHeight="1">
      <c r="A60" s="21"/>
      <c r="B60" s="21" t="s">
        <v>58</v>
      </c>
      <c r="C60" s="19">
        <f t="shared" si="12"/>
        <v>1</v>
      </c>
      <c r="D60" s="29">
        <v>0.0</v>
      </c>
      <c r="E60" s="21">
        <v>2000.0</v>
      </c>
      <c r="F60" s="22">
        <f t="shared" si="13"/>
        <v>0</v>
      </c>
    </row>
    <row r="61" ht="15.75" customHeight="1">
      <c r="A61" s="21"/>
      <c r="B61" s="21" t="s">
        <v>59</v>
      </c>
      <c r="C61" s="19">
        <f t="shared" si="12"/>
        <v>1</v>
      </c>
      <c r="D61" s="20">
        <v>1.0</v>
      </c>
      <c r="E61" s="21">
        <v>3000.0</v>
      </c>
      <c r="F61" s="22">
        <f t="shared" si="13"/>
        <v>3000</v>
      </c>
    </row>
    <row r="62" ht="15.75" hidden="1" customHeight="1">
      <c r="A62" s="21"/>
      <c r="B62" s="21" t="s">
        <v>60</v>
      </c>
      <c r="C62" s="19">
        <f t="shared" si="12"/>
        <v>1</v>
      </c>
      <c r="D62" s="29">
        <v>0.0</v>
      </c>
      <c r="E62" s="21">
        <v>3500.0</v>
      </c>
      <c r="F62" s="22">
        <f t="shared" si="13"/>
        <v>0</v>
      </c>
    </row>
    <row r="63" ht="15.75" hidden="1" customHeight="1">
      <c r="A63" s="21"/>
      <c r="B63" s="21" t="s">
        <v>61</v>
      </c>
      <c r="C63" s="19">
        <f t="shared" si="12"/>
        <v>1</v>
      </c>
      <c r="D63" s="29">
        <v>0.0</v>
      </c>
      <c r="E63" s="21">
        <v>4000.0</v>
      </c>
      <c r="F63" s="22">
        <f t="shared" si="13"/>
        <v>0</v>
      </c>
    </row>
    <row r="64" ht="15.75" hidden="1" customHeight="1">
      <c r="A64" s="21"/>
      <c r="B64" s="21"/>
      <c r="C64" s="19"/>
      <c r="D64" s="21"/>
      <c r="E64" s="21"/>
      <c r="F64" s="22"/>
    </row>
    <row r="65" ht="15.75" customHeight="1">
      <c r="A65" s="21"/>
      <c r="B65" s="27" t="s">
        <v>62</v>
      </c>
      <c r="C65" s="19"/>
      <c r="D65" s="21"/>
      <c r="E65" s="21"/>
      <c r="F65" s="22">
        <f>IF(SUM(F66:F76)&gt;0,1,0)</f>
        <v>1</v>
      </c>
    </row>
    <row r="66" ht="15.75" hidden="1" customHeight="1">
      <c r="A66" s="21"/>
      <c r="B66" s="21" t="s">
        <v>63</v>
      </c>
      <c r="C66" s="19">
        <f t="shared" ref="C66:C74" si="14">$C$6</f>
        <v>1</v>
      </c>
      <c r="D66" s="20">
        <v>0.0</v>
      </c>
      <c r="E66" s="21">
        <v>500.0</v>
      </c>
      <c r="F66" s="22">
        <f t="shared" ref="F66:F76" si="15">D66*E66*C66</f>
        <v>0</v>
      </c>
    </row>
    <row r="67" ht="15.75" customHeight="1">
      <c r="A67" s="21"/>
      <c r="B67" s="21" t="s">
        <v>64</v>
      </c>
      <c r="C67" s="19">
        <f t="shared" si="14"/>
        <v>1</v>
      </c>
      <c r="D67" s="20">
        <v>1.0</v>
      </c>
      <c r="E67" s="21">
        <v>1000.0</v>
      </c>
      <c r="F67" s="22">
        <f t="shared" si="15"/>
        <v>1000</v>
      </c>
    </row>
    <row r="68" ht="15.75" hidden="1" customHeight="1">
      <c r="A68" s="21"/>
      <c r="B68" s="21" t="s">
        <v>65</v>
      </c>
      <c r="C68" s="19">
        <f t="shared" si="14"/>
        <v>1</v>
      </c>
      <c r="D68" s="20">
        <v>0.0</v>
      </c>
      <c r="E68" s="21">
        <v>1500.0</v>
      </c>
      <c r="F68" s="22">
        <f t="shared" si="15"/>
        <v>0</v>
      </c>
    </row>
    <row r="69" ht="15.75" hidden="1" customHeight="1">
      <c r="A69" s="21"/>
      <c r="B69" s="20" t="s">
        <v>66</v>
      </c>
      <c r="C69" s="19">
        <f t="shared" si="14"/>
        <v>1</v>
      </c>
      <c r="D69" s="29">
        <v>0.0</v>
      </c>
      <c r="E69" s="21">
        <v>2000.0</v>
      </c>
      <c r="F69" s="22">
        <f t="shared" si="15"/>
        <v>0</v>
      </c>
    </row>
    <row r="70" ht="15.75" hidden="1" customHeight="1">
      <c r="A70" s="21"/>
      <c r="B70" s="21" t="s">
        <v>67</v>
      </c>
      <c r="C70" s="19">
        <f t="shared" si="14"/>
        <v>1</v>
      </c>
      <c r="D70" s="20">
        <v>0.0</v>
      </c>
      <c r="E70" s="21">
        <v>200.0</v>
      </c>
      <c r="F70" s="22">
        <f t="shared" si="15"/>
        <v>0</v>
      </c>
    </row>
    <row r="71" ht="15.75" hidden="1" customHeight="1">
      <c r="A71" s="21"/>
      <c r="B71" s="21" t="s">
        <v>68</v>
      </c>
      <c r="C71" s="19">
        <f t="shared" si="14"/>
        <v>1</v>
      </c>
      <c r="D71" s="29">
        <v>0.0</v>
      </c>
      <c r="E71" s="21">
        <v>500.0</v>
      </c>
      <c r="F71" s="22">
        <f t="shared" si="15"/>
        <v>0</v>
      </c>
    </row>
    <row r="72" ht="15.75" hidden="1" customHeight="1">
      <c r="A72" s="21"/>
      <c r="B72" s="21" t="s">
        <v>69</v>
      </c>
      <c r="C72" s="19">
        <f t="shared" si="14"/>
        <v>1</v>
      </c>
      <c r="D72" s="20">
        <v>0.0</v>
      </c>
      <c r="E72" s="21">
        <v>300.0</v>
      </c>
      <c r="F72" s="22">
        <f t="shared" si="15"/>
        <v>0</v>
      </c>
    </row>
    <row r="73" ht="15.75" hidden="1" customHeight="1">
      <c r="A73" s="21"/>
      <c r="B73" s="21" t="s">
        <v>70</v>
      </c>
      <c r="C73" s="19">
        <f t="shared" si="14"/>
        <v>1</v>
      </c>
      <c r="D73" s="29">
        <v>0.0</v>
      </c>
      <c r="E73" s="21">
        <v>600.0</v>
      </c>
      <c r="F73" s="22">
        <f t="shared" si="15"/>
        <v>0</v>
      </c>
    </row>
    <row r="74" ht="15.75" customHeight="1">
      <c r="A74" s="21"/>
      <c r="B74" s="21" t="s">
        <v>71</v>
      </c>
      <c r="C74" s="19">
        <f t="shared" si="14"/>
        <v>1</v>
      </c>
      <c r="D74" s="20">
        <v>2.0</v>
      </c>
      <c r="E74" s="21">
        <v>1200.0</v>
      </c>
      <c r="F74" s="22">
        <f t="shared" si="15"/>
        <v>2400</v>
      </c>
    </row>
    <row r="75" ht="15.75" hidden="1" customHeight="1">
      <c r="A75" s="21"/>
      <c r="B75" s="21" t="s">
        <v>72</v>
      </c>
      <c r="C75" s="19">
        <v>1.0</v>
      </c>
      <c r="D75" s="20">
        <v>0.0</v>
      </c>
      <c r="E75" s="21">
        <v>600.0</v>
      </c>
      <c r="F75" s="22">
        <f t="shared" si="15"/>
        <v>0</v>
      </c>
    </row>
    <row r="76" ht="16.5" hidden="1" customHeight="1">
      <c r="A76" s="21"/>
      <c r="B76" s="21" t="s">
        <v>73</v>
      </c>
      <c r="C76" s="19">
        <f>$C$6</f>
        <v>1</v>
      </c>
      <c r="D76" s="29">
        <v>0.0</v>
      </c>
      <c r="E76" s="21">
        <v>400.0</v>
      </c>
      <c r="F76" s="22">
        <f t="shared" si="15"/>
        <v>0</v>
      </c>
    </row>
    <row r="77" ht="16.5" hidden="1" customHeight="1">
      <c r="A77" s="21"/>
      <c r="B77" s="21"/>
      <c r="C77" s="19"/>
      <c r="D77" s="21"/>
      <c r="E77" s="21"/>
      <c r="F77" s="22"/>
    </row>
    <row r="78" ht="15.75" customHeight="1">
      <c r="A78" s="21"/>
      <c r="B78" s="27" t="s">
        <v>74</v>
      </c>
      <c r="C78" s="19"/>
      <c r="D78" s="21"/>
      <c r="E78" s="21"/>
      <c r="F78" s="28">
        <f>IF(SUM(F79:F86)&gt;0,1,0)</f>
        <v>1</v>
      </c>
    </row>
    <row r="79" ht="15.75" hidden="1" customHeight="1">
      <c r="A79" s="21"/>
      <c r="B79" s="21" t="s">
        <v>75</v>
      </c>
      <c r="C79" s="19">
        <f t="shared" ref="C79:C81" si="16">$C$6</f>
        <v>1</v>
      </c>
      <c r="D79" s="29">
        <v>0.0</v>
      </c>
      <c r="E79" s="21">
        <v>500.0</v>
      </c>
      <c r="F79" s="22">
        <f t="shared" ref="F79:F86" si="17">D79*E79*C79</f>
        <v>0</v>
      </c>
    </row>
    <row r="80" ht="15.75" customHeight="1">
      <c r="A80" s="21"/>
      <c r="B80" s="21" t="s">
        <v>75</v>
      </c>
      <c r="C80" s="19">
        <f t="shared" si="16"/>
        <v>1</v>
      </c>
      <c r="D80" s="20">
        <v>1.0</v>
      </c>
      <c r="E80" s="21">
        <v>1000.0</v>
      </c>
      <c r="F80" s="22">
        <f t="shared" si="17"/>
        <v>1000</v>
      </c>
    </row>
    <row r="81" ht="15.75" hidden="1" customHeight="1">
      <c r="A81" s="21"/>
      <c r="B81" s="21" t="s">
        <v>75</v>
      </c>
      <c r="C81" s="19">
        <f t="shared" si="16"/>
        <v>1</v>
      </c>
      <c r="D81" s="29">
        <v>0.0</v>
      </c>
      <c r="E81" s="21">
        <v>1500.0</v>
      </c>
      <c r="F81" s="22">
        <f t="shared" si="17"/>
        <v>0</v>
      </c>
    </row>
    <row r="82" ht="15.75" hidden="1" customHeight="1">
      <c r="A82" s="21"/>
      <c r="B82" s="21" t="s">
        <v>75</v>
      </c>
      <c r="C82" s="19">
        <v>1.0</v>
      </c>
      <c r="D82" s="20">
        <v>0.0</v>
      </c>
      <c r="E82" s="21">
        <v>2000.0</v>
      </c>
      <c r="F82" s="22">
        <f t="shared" si="17"/>
        <v>0</v>
      </c>
    </row>
    <row r="83" ht="15.75" hidden="1" customHeight="1">
      <c r="A83" s="21"/>
      <c r="B83" s="21" t="s">
        <v>76</v>
      </c>
      <c r="C83" s="19">
        <f t="shared" ref="C83:C86" si="18">$C$6</f>
        <v>1</v>
      </c>
      <c r="D83" s="20">
        <v>0.0</v>
      </c>
      <c r="E83" s="21">
        <v>500.0</v>
      </c>
      <c r="F83" s="22">
        <f t="shared" si="17"/>
        <v>0</v>
      </c>
    </row>
    <row r="84" ht="15.75" customHeight="1">
      <c r="A84" s="21"/>
      <c r="B84" s="21" t="s">
        <v>77</v>
      </c>
      <c r="C84" s="19">
        <f t="shared" si="18"/>
        <v>1</v>
      </c>
      <c r="D84" s="20">
        <v>1.0</v>
      </c>
      <c r="E84" s="21">
        <v>1000.0</v>
      </c>
      <c r="F84" s="22">
        <f t="shared" si="17"/>
        <v>1000</v>
      </c>
    </row>
    <row r="85" ht="15.75" hidden="1" customHeight="1">
      <c r="A85" s="21"/>
      <c r="B85" s="21" t="s">
        <v>78</v>
      </c>
      <c r="C85" s="19">
        <f t="shared" si="18"/>
        <v>1</v>
      </c>
      <c r="D85" s="20">
        <v>0.0</v>
      </c>
      <c r="E85" s="21">
        <v>1500.0</v>
      </c>
      <c r="F85" s="22">
        <f t="shared" si="17"/>
        <v>0</v>
      </c>
    </row>
    <row r="86" ht="15.75" hidden="1" customHeight="1">
      <c r="A86" s="21"/>
      <c r="B86" s="21" t="s">
        <v>79</v>
      </c>
      <c r="C86" s="19">
        <f t="shared" si="18"/>
        <v>1</v>
      </c>
      <c r="D86" s="29">
        <v>0.0</v>
      </c>
      <c r="E86" s="21">
        <v>2000.0</v>
      </c>
      <c r="F86" s="22">
        <f t="shared" si="17"/>
        <v>0</v>
      </c>
    </row>
    <row r="87" ht="15.75" hidden="1" customHeight="1">
      <c r="A87" s="21"/>
      <c r="B87" s="21"/>
      <c r="C87" s="19"/>
      <c r="D87" s="21"/>
      <c r="E87" s="21"/>
      <c r="F87" s="22"/>
    </row>
    <row r="88" ht="15.75" customHeight="1">
      <c r="A88" s="12" t="s">
        <v>80</v>
      </c>
      <c r="B88" s="13"/>
      <c r="C88" s="24"/>
      <c r="D88" s="25"/>
      <c r="E88" s="25"/>
      <c r="F88" s="26">
        <f>IF(SUM(F90:F123)&gt;0,1,0)</f>
        <v>1</v>
      </c>
    </row>
    <row r="89" ht="15.75" customHeight="1">
      <c r="A89" s="17"/>
      <c r="B89" s="17" t="s">
        <v>81</v>
      </c>
      <c r="C89" s="19"/>
      <c r="D89" s="21"/>
      <c r="E89" s="21"/>
      <c r="F89" s="28">
        <f>IF(SUM(F90:F99)&gt;0,1,0)</f>
        <v>1</v>
      </c>
    </row>
    <row r="90" ht="15.75" hidden="1" customHeight="1">
      <c r="A90" s="21"/>
      <c r="B90" s="21" t="s">
        <v>82</v>
      </c>
      <c r="C90" s="19">
        <f t="shared" ref="C90:C99" si="19">$C$6</f>
        <v>1</v>
      </c>
      <c r="D90" s="20">
        <v>0.0</v>
      </c>
      <c r="E90" s="21">
        <v>500.0</v>
      </c>
      <c r="F90" s="22">
        <f t="shared" ref="F90:F99" si="20">D90*E90*C90</f>
        <v>0</v>
      </c>
    </row>
    <row r="91" ht="15.75" hidden="1" customHeight="1">
      <c r="A91" s="21"/>
      <c r="B91" s="21" t="s">
        <v>83</v>
      </c>
      <c r="C91" s="19">
        <f t="shared" si="19"/>
        <v>1</v>
      </c>
      <c r="D91" s="20">
        <v>0.0</v>
      </c>
      <c r="E91" s="21">
        <v>600.0</v>
      </c>
      <c r="F91" s="22">
        <f t="shared" si="20"/>
        <v>0</v>
      </c>
    </row>
    <row r="92" ht="15.75" customHeight="1">
      <c r="A92" s="21"/>
      <c r="B92" s="21" t="s">
        <v>84</v>
      </c>
      <c r="C92" s="19">
        <f t="shared" si="19"/>
        <v>1</v>
      </c>
      <c r="D92" s="20">
        <v>4.0</v>
      </c>
      <c r="E92" s="21">
        <v>500.0</v>
      </c>
      <c r="F92" s="22">
        <f t="shared" si="20"/>
        <v>2000</v>
      </c>
    </row>
    <row r="93" ht="15.75" hidden="1" customHeight="1">
      <c r="A93" s="21"/>
      <c r="B93" s="21" t="s">
        <v>85</v>
      </c>
      <c r="C93" s="19">
        <f t="shared" si="19"/>
        <v>1</v>
      </c>
      <c r="D93" s="20">
        <v>0.0</v>
      </c>
      <c r="E93" s="21">
        <v>200.0</v>
      </c>
      <c r="F93" s="22">
        <f t="shared" si="20"/>
        <v>0</v>
      </c>
    </row>
    <row r="94" ht="15.75" hidden="1" customHeight="1">
      <c r="A94" s="21"/>
      <c r="B94" s="21" t="s">
        <v>86</v>
      </c>
      <c r="C94" s="19">
        <f t="shared" si="19"/>
        <v>1</v>
      </c>
      <c r="D94" s="20">
        <v>0.0</v>
      </c>
      <c r="E94" s="21">
        <v>400.0</v>
      </c>
      <c r="F94" s="22">
        <f t="shared" si="20"/>
        <v>0</v>
      </c>
    </row>
    <row r="95" ht="15.75" hidden="1" customHeight="1">
      <c r="A95" s="21"/>
      <c r="B95" s="21" t="s">
        <v>87</v>
      </c>
      <c r="C95" s="19">
        <f t="shared" si="19"/>
        <v>1</v>
      </c>
      <c r="D95" s="20">
        <v>0.0</v>
      </c>
      <c r="E95" s="21">
        <v>200.0</v>
      </c>
      <c r="F95" s="22">
        <f t="shared" si="20"/>
        <v>0</v>
      </c>
    </row>
    <row r="96" ht="15.75" hidden="1" customHeight="1">
      <c r="A96" s="21"/>
      <c r="B96" s="21" t="s">
        <v>88</v>
      </c>
      <c r="C96" s="19">
        <f t="shared" si="19"/>
        <v>1</v>
      </c>
      <c r="D96" s="20">
        <v>0.0</v>
      </c>
      <c r="E96" s="21">
        <v>500.0</v>
      </c>
      <c r="F96" s="22">
        <f t="shared" si="20"/>
        <v>0</v>
      </c>
    </row>
    <row r="97" ht="15.75" hidden="1" customHeight="1">
      <c r="A97" s="21"/>
      <c r="B97" s="21" t="s">
        <v>89</v>
      </c>
      <c r="C97" s="19">
        <f t="shared" si="19"/>
        <v>1</v>
      </c>
      <c r="D97" s="20">
        <v>0.0</v>
      </c>
      <c r="E97" s="21">
        <v>600.0</v>
      </c>
      <c r="F97" s="22">
        <f t="shared" si="20"/>
        <v>0</v>
      </c>
    </row>
    <row r="98" ht="15.75" hidden="1" customHeight="1">
      <c r="A98" s="21"/>
      <c r="B98" s="21" t="s">
        <v>90</v>
      </c>
      <c r="C98" s="19">
        <f t="shared" si="19"/>
        <v>1</v>
      </c>
      <c r="D98" s="20">
        <v>0.0</v>
      </c>
      <c r="E98" s="21">
        <v>200.0</v>
      </c>
      <c r="F98" s="22">
        <f t="shared" si="20"/>
        <v>0</v>
      </c>
    </row>
    <row r="99" ht="15.75" hidden="1" customHeight="1">
      <c r="A99" s="21"/>
      <c r="B99" s="21" t="s">
        <v>91</v>
      </c>
      <c r="C99" s="19">
        <f t="shared" si="19"/>
        <v>1</v>
      </c>
      <c r="D99" s="20">
        <v>0.0</v>
      </c>
      <c r="E99" s="21">
        <v>1500.0</v>
      </c>
      <c r="F99" s="22">
        <f t="shared" si="20"/>
        <v>0</v>
      </c>
    </row>
    <row r="100" ht="15.75" hidden="1" customHeight="1">
      <c r="A100" s="21"/>
      <c r="B100" s="21"/>
      <c r="C100" s="19"/>
      <c r="D100" s="21"/>
      <c r="E100" s="21"/>
      <c r="F100" s="22"/>
    </row>
    <row r="101" ht="15.75" customHeight="1">
      <c r="A101" s="21"/>
      <c r="B101" s="27" t="s">
        <v>92</v>
      </c>
      <c r="C101" s="19"/>
      <c r="D101" s="21"/>
      <c r="E101" s="21"/>
      <c r="F101" s="28">
        <f>IF(SUM(F102:F107)&gt;0,1,0)</f>
        <v>1</v>
      </c>
    </row>
    <row r="102" ht="15.75" hidden="1" customHeight="1">
      <c r="A102" s="21"/>
      <c r="B102" s="21" t="s">
        <v>93</v>
      </c>
      <c r="C102" s="19">
        <f t="shared" ref="C102:C107" si="21">$C$6</f>
        <v>1</v>
      </c>
      <c r="D102" s="29">
        <v>0.0</v>
      </c>
      <c r="E102" s="21">
        <v>600.0</v>
      </c>
      <c r="F102" s="22">
        <f t="shared" ref="F102:F107" si="22">D102*E102*C102</f>
        <v>0</v>
      </c>
    </row>
    <row r="103" ht="15.75" customHeight="1">
      <c r="A103" s="21"/>
      <c r="B103" s="20" t="s">
        <v>94</v>
      </c>
      <c r="C103" s="19">
        <f t="shared" si="21"/>
        <v>1</v>
      </c>
      <c r="D103" s="20">
        <v>8.0</v>
      </c>
      <c r="E103" s="21">
        <v>600.0</v>
      </c>
      <c r="F103" s="22">
        <f t="shared" si="22"/>
        <v>4800</v>
      </c>
    </row>
    <row r="104" ht="15.75" hidden="1" customHeight="1">
      <c r="A104" s="21"/>
      <c r="B104" s="21" t="s">
        <v>95</v>
      </c>
      <c r="C104" s="19">
        <f t="shared" si="21"/>
        <v>1</v>
      </c>
      <c r="D104" s="29">
        <v>0.0</v>
      </c>
      <c r="E104" s="21">
        <v>900.0</v>
      </c>
      <c r="F104" s="22">
        <f t="shared" si="22"/>
        <v>0</v>
      </c>
    </row>
    <row r="105" ht="15.75" hidden="1" customHeight="1">
      <c r="A105" s="21"/>
      <c r="B105" s="21" t="s">
        <v>96</v>
      </c>
      <c r="C105" s="19">
        <f t="shared" si="21"/>
        <v>1</v>
      </c>
      <c r="D105" s="29">
        <v>0.0</v>
      </c>
      <c r="E105" s="21">
        <v>1500.0</v>
      </c>
      <c r="F105" s="22">
        <f t="shared" si="22"/>
        <v>0</v>
      </c>
    </row>
    <row r="106" ht="15.75" customHeight="1">
      <c r="A106" s="21"/>
      <c r="B106" s="21" t="s">
        <v>97</v>
      </c>
      <c r="C106" s="19">
        <f t="shared" si="21"/>
        <v>1</v>
      </c>
      <c r="D106" s="20">
        <v>8.0</v>
      </c>
      <c r="E106" s="20">
        <v>900.0</v>
      </c>
      <c r="F106" s="22">
        <f t="shared" si="22"/>
        <v>7200</v>
      </c>
    </row>
    <row r="107" ht="15.75" customHeight="1">
      <c r="A107" s="21"/>
      <c r="B107" s="20" t="s">
        <v>98</v>
      </c>
      <c r="C107" s="19">
        <f t="shared" si="21"/>
        <v>1</v>
      </c>
      <c r="D107" s="20">
        <v>12.0</v>
      </c>
      <c r="E107" s="20">
        <v>500.0</v>
      </c>
      <c r="F107" s="22">
        <f t="shared" si="22"/>
        <v>6000</v>
      </c>
    </row>
    <row r="108" ht="15.75" hidden="1" customHeight="1">
      <c r="A108" s="21"/>
      <c r="B108" s="21"/>
      <c r="C108" s="19"/>
      <c r="D108" s="21"/>
      <c r="E108" s="21"/>
      <c r="F108" s="22"/>
    </row>
    <row r="109" ht="15.75" customHeight="1">
      <c r="A109" s="21"/>
      <c r="B109" s="27" t="s">
        <v>99</v>
      </c>
      <c r="C109" s="19"/>
      <c r="D109" s="21"/>
      <c r="E109" s="21"/>
      <c r="F109" s="28">
        <f>IF(SUM(F110:F123)&gt;0,1,0)</f>
        <v>1</v>
      </c>
    </row>
    <row r="110" ht="15.75" customHeight="1">
      <c r="A110" s="21"/>
      <c r="B110" s="21" t="s">
        <v>100</v>
      </c>
      <c r="C110" s="19">
        <f t="shared" ref="C110:C119" si="23">$C$6</f>
        <v>1</v>
      </c>
      <c r="D110" s="20">
        <v>1.0</v>
      </c>
      <c r="E110" s="21">
        <v>500.0</v>
      </c>
      <c r="F110" s="22">
        <f t="shared" ref="F110:F123" si="24">D110*E110*C110</f>
        <v>500</v>
      </c>
    </row>
    <row r="111" ht="15.75" hidden="1" customHeight="1">
      <c r="A111" s="21"/>
      <c r="B111" s="21" t="s">
        <v>101</v>
      </c>
      <c r="C111" s="19">
        <f t="shared" si="23"/>
        <v>1</v>
      </c>
      <c r="D111" s="29">
        <v>0.0</v>
      </c>
      <c r="E111" s="21">
        <v>1000.0</v>
      </c>
      <c r="F111" s="22">
        <f t="shared" si="24"/>
        <v>0</v>
      </c>
    </row>
    <row r="112" ht="15.75" hidden="1" customHeight="1">
      <c r="A112" s="21"/>
      <c r="B112" s="21" t="s">
        <v>102</v>
      </c>
      <c r="C112" s="19">
        <f t="shared" si="23"/>
        <v>1</v>
      </c>
      <c r="D112" s="29">
        <v>0.0</v>
      </c>
      <c r="E112" s="21">
        <v>3000.0</v>
      </c>
      <c r="F112" s="22">
        <f t="shared" si="24"/>
        <v>0</v>
      </c>
    </row>
    <row r="113" ht="15.75" hidden="1" customHeight="1">
      <c r="A113" s="21"/>
      <c r="B113" s="21" t="s">
        <v>103</v>
      </c>
      <c r="C113" s="19">
        <f t="shared" si="23"/>
        <v>1</v>
      </c>
      <c r="D113" s="29">
        <v>0.0</v>
      </c>
      <c r="E113" s="21">
        <v>1000.0</v>
      </c>
      <c r="F113" s="22">
        <f t="shared" si="24"/>
        <v>0</v>
      </c>
    </row>
    <row r="114" ht="15.75" hidden="1" customHeight="1">
      <c r="A114" s="21"/>
      <c r="B114" s="21" t="s">
        <v>104</v>
      </c>
      <c r="C114" s="19">
        <f t="shared" si="23"/>
        <v>1</v>
      </c>
      <c r="D114" s="29">
        <v>0.0</v>
      </c>
      <c r="E114" s="21">
        <v>2000.0</v>
      </c>
      <c r="F114" s="22">
        <f t="shared" si="24"/>
        <v>0</v>
      </c>
    </row>
    <row r="115" ht="15.75" customHeight="1">
      <c r="A115" s="21"/>
      <c r="B115" s="21" t="s">
        <v>105</v>
      </c>
      <c r="C115" s="19">
        <f t="shared" si="23"/>
        <v>1</v>
      </c>
      <c r="D115" s="20">
        <v>1.0</v>
      </c>
      <c r="E115" s="21">
        <v>3000.0</v>
      </c>
      <c r="F115" s="22">
        <f t="shared" si="24"/>
        <v>3000</v>
      </c>
    </row>
    <row r="116" ht="15.75" hidden="1" customHeight="1">
      <c r="A116" s="21"/>
      <c r="B116" s="21" t="s">
        <v>106</v>
      </c>
      <c r="C116" s="19">
        <f t="shared" si="23"/>
        <v>1</v>
      </c>
      <c r="D116" s="29">
        <v>0.0</v>
      </c>
      <c r="E116" s="21">
        <v>2000.0</v>
      </c>
      <c r="F116" s="22">
        <f t="shared" si="24"/>
        <v>0</v>
      </c>
    </row>
    <row r="117" ht="15.75" customHeight="1">
      <c r="A117" s="21"/>
      <c r="B117" s="21" t="s">
        <v>107</v>
      </c>
      <c r="C117" s="19">
        <f t="shared" si="23"/>
        <v>1</v>
      </c>
      <c r="D117" s="20">
        <v>2.0</v>
      </c>
      <c r="E117" s="21">
        <v>1200.0</v>
      </c>
      <c r="F117" s="22">
        <f t="shared" si="24"/>
        <v>2400</v>
      </c>
    </row>
    <row r="118" ht="15.75" hidden="1" customHeight="1">
      <c r="A118" s="21"/>
      <c r="B118" s="21" t="s">
        <v>75</v>
      </c>
      <c r="C118" s="19">
        <f t="shared" si="23"/>
        <v>1</v>
      </c>
      <c r="D118" s="29">
        <v>0.0</v>
      </c>
      <c r="E118" s="21">
        <v>1000.0</v>
      </c>
      <c r="F118" s="22">
        <f t="shared" si="24"/>
        <v>0</v>
      </c>
    </row>
    <row r="119" ht="15.75" customHeight="1">
      <c r="A119" s="21"/>
      <c r="B119" s="21" t="s">
        <v>75</v>
      </c>
      <c r="C119" s="19">
        <f t="shared" si="23"/>
        <v>1</v>
      </c>
      <c r="D119" s="20">
        <v>1.0</v>
      </c>
      <c r="E119" s="21">
        <v>1500.0</v>
      </c>
      <c r="F119" s="22">
        <f t="shared" si="24"/>
        <v>1500</v>
      </c>
    </row>
    <row r="120" ht="15.75" hidden="1" customHeight="1">
      <c r="A120" s="21"/>
      <c r="B120" s="21" t="s">
        <v>75</v>
      </c>
      <c r="C120" s="19">
        <v>1.0</v>
      </c>
      <c r="D120" s="29">
        <v>0.0</v>
      </c>
      <c r="E120" s="21">
        <v>2000.0</v>
      </c>
      <c r="F120" s="22">
        <f t="shared" si="24"/>
        <v>0</v>
      </c>
    </row>
    <row r="121" ht="15.75" customHeight="1">
      <c r="A121" s="21"/>
      <c r="B121" s="21" t="s">
        <v>108</v>
      </c>
      <c r="C121" s="19">
        <f>$C$6</f>
        <v>1</v>
      </c>
      <c r="D121" s="20">
        <v>1.0</v>
      </c>
      <c r="E121" s="21">
        <v>1000.0</v>
      </c>
      <c r="F121" s="22">
        <f t="shared" si="24"/>
        <v>1000</v>
      </c>
    </row>
    <row r="122" ht="15.75" hidden="1" customHeight="1">
      <c r="A122" s="21"/>
      <c r="B122" s="21" t="s">
        <v>109</v>
      </c>
      <c r="C122" s="19">
        <v>1.0</v>
      </c>
      <c r="D122" s="29">
        <v>0.0</v>
      </c>
      <c r="E122" s="21">
        <v>1500.0</v>
      </c>
      <c r="F122" s="22">
        <f t="shared" si="24"/>
        <v>0</v>
      </c>
    </row>
    <row r="123" ht="15.75" hidden="1" customHeight="1">
      <c r="A123" s="21"/>
      <c r="B123" s="21" t="s">
        <v>109</v>
      </c>
      <c r="C123" s="19">
        <f>$C$6</f>
        <v>1</v>
      </c>
      <c r="D123" s="29">
        <v>0.0</v>
      </c>
      <c r="E123" s="21">
        <v>2000.0</v>
      </c>
      <c r="F123" s="22">
        <f t="shared" si="24"/>
        <v>0</v>
      </c>
    </row>
    <row r="124" ht="15.75" hidden="1" customHeight="1">
      <c r="A124" s="21"/>
      <c r="B124" s="21"/>
      <c r="C124" s="19"/>
      <c r="D124" s="21"/>
      <c r="E124" s="21"/>
      <c r="F124" s="22"/>
    </row>
    <row r="125" ht="15.75" customHeight="1">
      <c r="A125" s="12" t="s">
        <v>110</v>
      </c>
      <c r="B125" s="13"/>
      <c r="C125" s="24"/>
      <c r="D125" s="25"/>
      <c r="E125" s="25"/>
      <c r="F125" s="26">
        <f>IF(SUM(F127:F136)&gt;0,1,0)</f>
        <v>1</v>
      </c>
    </row>
    <row r="126" ht="15.75" hidden="1" customHeight="1">
      <c r="A126" s="17"/>
      <c r="B126" s="17"/>
      <c r="C126" s="19"/>
      <c r="D126" s="21"/>
      <c r="E126" s="21"/>
      <c r="F126" s="22"/>
    </row>
    <row r="127" ht="15.75" customHeight="1">
      <c r="A127" s="21"/>
      <c r="B127" s="21" t="s">
        <v>111</v>
      </c>
      <c r="C127" s="19">
        <f t="shared" ref="C127:C136" si="25">$C$6</f>
        <v>1</v>
      </c>
      <c r="D127" s="20">
        <v>10.0</v>
      </c>
      <c r="E127" s="21">
        <v>2500.0</v>
      </c>
      <c r="F127" s="22">
        <f t="shared" ref="F127:F134" si="26">D127*E127*C127</f>
        <v>25000</v>
      </c>
    </row>
    <row r="128" ht="15.75" hidden="1" customHeight="1">
      <c r="A128" s="21"/>
      <c r="B128" s="21" t="s">
        <v>112</v>
      </c>
      <c r="C128" s="19">
        <f t="shared" si="25"/>
        <v>1</v>
      </c>
      <c r="D128" s="29">
        <v>0.0</v>
      </c>
      <c r="E128" s="21">
        <v>1500.0</v>
      </c>
      <c r="F128" s="22">
        <f t="shared" si="26"/>
        <v>0</v>
      </c>
    </row>
    <row r="129" ht="15.75" hidden="1" customHeight="1">
      <c r="A129" s="21"/>
      <c r="B129" s="21" t="s">
        <v>113</v>
      </c>
      <c r="C129" s="19">
        <f t="shared" si="25"/>
        <v>1</v>
      </c>
      <c r="D129" s="29">
        <v>0.0</v>
      </c>
      <c r="E129" s="21">
        <v>2800.0</v>
      </c>
      <c r="F129" s="22">
        <f t="shared" si="26"/>
        <v>0</v>
      </c>
    </row>
    <row r="130" ht="15.75" customHeight="1">
      <c r="A130" s="21"/>
      <c r="B130" s="21" t="s">
        <v>114</v>
      </c>
      <c r="C130" s="19">
        <f t="shared" si="25"/>
        <v>1</v>
      </c>
      <c r="D130" s="20">
        <v>1.0</v>
      </c>
      <c r="E130" s="21">
        <v>1500.0</v>
      </c>
      <c r="F130" s="22">
        <f t="shared" si="26"/>
        <v>1500</v>
      </c>
    </row>
    <row r="131" ht="15.75" customHeight="1">
      <c r="A131" s="21"/>
      <c r="B131" s="21" t="s">
        <v>115</v>
      </c>
      <c r="C131" s="19">
        <f t="shared" si="25"/>
        <v>1</v>
      </c>
      <c r="D131" s="20">
        <v>1.0</v>
      </c>
      <c r="E131" s="21">
        <v>2000.0</v>
      </c>
      <c r="F131" s="22">
        <f t="shared" si="26"/>
        <v>2000</v>
      </c>
    </row>
    <row r="132" ht="15.75" customHeight="1">
      <c r="A132" s="21"/>
      <c r="B132" s="21" t="s">
        <v>116</v>
      </c>
      <c r="C132" s="19">
        <f t="shared" si="25"/>
        <v>1</v>
      </c>
      <c r="D132" s="20">
        <v>1.0</v>
      </c>
      <c r="E132" s="21">
        <v>1500.0</v>
      </c>
      <c r="F132" s="22">
        <f t="shared" si="26"/>
        <v>1500</v>
      </c>
    </row>
    <row r="133" ht="15.75" hidden="1" customHeight="1">
      <c r="A133" s="21"/>
      <c r="B133" s="21" t="s">
        <v>117</v>
      </c>
      <c r="C133" s="19">
        <f t="shared" si="25"/>
        <v>1</v>
      </c>
      <c r="D133" s="29">
        <v>0.0</v>
      </c>
      <c r="E133" s="21">
        <v>1200.0</v>
      </c>
      <c r="F133" s="22">
        <f t="shared" si="26"/>
        <v>0</v>
      </c>
    </row>
    <row r="134" ht="67.5" hidden="1" customHeight="1">
      <c r="A134" s="21"/>
      <c r="B134" s="30" t="s">
        <v>154</v>
      </c>
      <c r="C134" s="19">
        <f t="shared" si="25"/>
        <v>1</v>
      </c>
      <c r="D134" s="20">
        <v>0.0</v>
      </c>
      <c r="E134" s="21">
        <v>10000.0</v>
      </c>
      <c r="F134" s="22">
        <f t="shared" si="26"/>
        <v>0</v>
      </c>
    </row>
    <row r="135" ht="90.75" hidden="1" customHeight="1">
      <c r="A135" s="21"/>
      <c r="B135" s="31" t="s">
        <v>155</v>
      </c>
      <c r="C135" s="19">
        <f t="shared" si="25"/>
        <v>1</v>
      </c>
      <c r="D135" s="20">
        <v>0.0</v>
      </c>
      <c r="E135" s="21">
        <v>15000.0</v>
      </c>
      <c r="F135" s="22">
        <v>0.0</v>
      </c>
    </row>
    <row r="136" ht="15.75" hidden="1" customHeight="1">
      <c r="A136" s="21"/>
      <c r="B136" s="31" t="s">
        <v>156</v>
      </c>
      <c r="C136" s="19">
        <f t="shared" si="25"/>
        <v>1</v>
      </c>
      <c r="D136" s="20">
        <v>0.0</v>
      </c>
      <c r="E136" s="21">
        <v>25000.0</v>
      </c>
      <c r="F136" s="22">
        <v>0.0</v>
      </c>
    </row>
    <row r="137" ht="15.75" hidden="1" customHeight="1">
      <c r="A137" s="21"/>
      <c r="B137" s="21"/>
      <c r="C137" s="19"/>
      <c r="D137" s="21"/>
      <c r="E137" s="21"/>
      <c r="F137" s="22"/>
    </row>
    <row r="138" ht="15.75" customHeight="1">
      <c r="A138" s="12" t="s">
        <v>121</v>
      </c>
      <c r="B138" s="13"/>
      <c r="C138" s="24"/>
      <c r="D138" s="25"/>
      <c r="E138" s="25"/>
      <c r="F138" s="26">
        <f>IF(SUM(F140:F150)&gt;0,1,0)</f>
        <v>1</v>
      </c>
    </row>
    <row r="139" ht="15.75" hidden="1" customHeight="1">
      <c r="A139" s="21"/>
      <c r="B139" s="21"/>
      <c r="C139" s="19"/>
      <c r="D139" s="21"/>
      <c r="E139" s="21"/>
      <c r="F139" s="22"/>
    </row>
    <row r="140" ht="15.75" hidden="1" customHeight="1">
      <c r="A140" s="21"/>
      <c r="B140" s="21" t="s">
        <v>122</v>
      </c>
      <c r="C140" s="19">
        <f t="shared" ref="C140:C150" si="27">$C$6</f>
        <v>1</v>
      </c>
      <c r="D140" s="29">
        <v>0.0</v>
      </c>
      <c r="E140" s="21">
        <v>8000.0</v>
      </c>
      <c r="F140" s="22">
        <f t="shared" ref="F140:F150" si="28">D140*E140*C140</f>
        <v>0</v>
      </c>
    </row>
    <row r="141" ht="15.75" hidden="1" customHeight="1">
      <c r="A141" s="21"/>
      <c r="B141" s="21" t="s">
        <v>123</v>
      </c>
      <c r="C141" s="19">
        <f t="shared" si="27"/>
        <v>1</v>
      </c>
      <c r="D141" s="29">
        <v>0.0</v>
      </c>
      <c r="E141" s="21">
        <v>6500.0</v>
      </c>
      <c r="F141" s="22">
        <f t="shared" si="28"/>
        <v>0</v>
      </c>
    </row>
    <row r="142" ht="15.75" hidden="1" customHeight="1">
      <c r="A142" s="21"/>
      <c r="B142" s="21" t="s">
        <v>124</v>
      </c>
      <c r="C142" s="19">
        <f t="shared" si="27"/>
        <v>1</v>
      </c>
      <c r="D142" s="29">
        <v>0.0</v>
      </c>
      <c r="E142" s="21">
        <v>270.0</v>
      </c>
      <c r="F142" s="22">
        <f t="shared" si="28"/>
        <v>0</v>
      </c>
    </row>
    <row r="143" ht="15.75" hidden="1" customHeight="1">
      <c r="A143" s="21"/>
      <c r="B143" s="21" t="s">
        <v>125</v>
      </c>
      <c r="C143" s="19">
        <f t="shared" si="27"/>
        <v>1</v>
      </c>
      <c r="D143" s="29">
        <v>0.0</v>
      </c>
      <c r="E143" s="21">
        <v>6000.0</v>
      </c>
      <c r="F143" s="22">
        <f t="shared" si="28"/>
        <v>0</v>
      </c>
    </row>
    <row r="144" ht="15.75" customHeight="1">
      <c r="A144" s="21"/>
      <c r="B144" s="21" t="s">
        <v>126</v>
      </c>
      <c r="C144" s="19">
        <f t="shared" si="27"/>
        <v>1</v>
      </c>
      <c r="D144" s="20">
        <v>1.0</v>
      </c>
      <c r="E144" s="21">
        <v>6500.0</v>
      </c>
      <c r="F144" s="22">
        <f t="shared" si="28"/>
        <v>6500</v>
      </c>
    </row>
    <row r="145" ht="15.75" hidden="1" customHeight="1">
      <c r="A145" s="21"/>
      <c r="B145" s="21" t="s">
        <v>127</v>
      </c>
      <c r="C145" s="19">
        <f t="shared" si="27"/>
        <v>1</v>
      </c>
      <c r="D145" s="20">
        <v>0.0</v>
      </c>
      <c r="E145" s="21">
        <v>6000.0</v>
      </c>
      <c r="F145" s="22">
        <f t="shared" si="28"/>
        <v>0</v>
      </c>
    </row>
    <row r="146" ht="15.75" hidden="1" customHeight="1">
      <c r="A146" s="21"/>
      <c r="B146" s="21" t="s">
        <v>128</v>
      </c>
      <c r="C146" s="19">
        <f t="shared" si="27"/>
        <v>1</v>
      </c>
      <c r="D146" s="20">
        <v>0.0</v>
      </c>
      <c r="E146" s="21">
        <v>6000.0</v>
      </c>
      <c r="F146" s="22">
        <f t="shared" si="28"/>
        <v>0</v>
      </c>
    </row>
    <row r="147" ht="15.75" customHeight="1">
      <c r="A147" s="21"/>
      <c r="B147" s="21" t="s">
        <v>129</v>
      </c>
      <c r="C147" s="19">
        <f t="shared" si="27"/>
        <v>1</v>
      </c>
      <c r="D147" s="20">
        <v>1.0</v>
      </c>
      <c r="E147" s="21">
        <v>6500.0</v>
      </c>
      <c r="F147" s="22">
        <f t="shared" si="28"/>
        <v>6500</v>
      </c>
    </row>
    <row r="148" ht="15.75" hidden="1" customHeight="1">
      <c r="A148" s="21"/>
      <c r="B148" s="21" t="s">
        <v>130</v>
      </c>
      <c r="C148" s="19">
        <f t="shared" si="27"/>
        <v>1</v>
      </c>
      <c r="D148" s="20">
        <v>0.0</v>
      </c>
      <c r="E148" s="21">
        <v>5000.0</v>
      </c>
      <c r="F148" s="22">
        <f t="shared" si="28"/>
        <v>0</v>
      </c>
    </row>
    <row r="149" ht="15.75" customHeight="1">
      <c r="A149" s="21"/>
      <c r="B149" s="21" t="s">
        <v>131</v>
      </c>
      <c r="C149" s="19">
        <f t="shared" si="27"/>
        <v>1</v>
      </c>
      <c r="D149" s="20">
        <v>1.0</v>
      </c>
      <c r="E149" s="21">
        <v>6500.0</v>
      </c>
      <c r="F149" s="22">
        <f t="shared" si="28"/>
        <v>6500</v>
      </c>
    </row>
    <row r="150" ht="15.75" hidden="1" customHeight="1">
      <c r="A150" s="21"/>
      <c r="B150" s="21" t="s">
        <v>132</v>
      </c>
      <c r="C150" s="19">
        <f t="shared" si="27"/>
        <v>1</v>
      </c>
      <c r="D150" s="29">
        <v>0.0</v>
      </c>
      <c r="E150" s="21">
        <v>6000.0</v>
      </c>
      <c r="F150" s="22">
        <f t="shared" si="28"/>
        <v>0</v>
      </c>
    </row>
    <row r="151" ht="15.75" hidden="1" customHeight="1">
      <c r="A151" s="21"/>
      <c r="B151" s="21"/>
      <c r="C151" s="21"/>
      <c r="D151" s="21"/>
      <c r="E151" s="21"/>
      <c r="F151" s="22"/>
    </row>
    <row r="152" ht="15.75" customHeight="1">
      <c r="A152" s="12" t="s">
        <v>133</v>
      </c>
      <c r="B152" s="13"/>
      <c r="C152" s="12"/>
      <c r="D152" s="25"/>
      <c r="E152" s="25"/>
      <c r="F152" s="26">
        <f>IF(SUM(F153:F158)&gt;0,1,0)</f>
        <v>1</v>
      </c>
    </row>
    <row r="153" ht="15.75" hidden="1" customHeight="1">
      <c r="A153" s="21"/>
      <c r="B153" s="21" t="s">
        <v>134</v>
      </c>
      <c r="C153" s="20">
        <v>1.0</v>
      </c>
      <c r="D153" s="20">
        <v>0.0</v>
      </c>
      <c r="E153" s="21">
        <v>18.0</v>
      </c>
      <c r="F153" s="22">
        <f t="shared" ref="F153:F158" si="29">D153*E153*C153</f>
        <v>0</v>
      </c>
    </row>
    <row r="154" ht="15.75" hidden="1" customHeight="1">
      <c r="A154" s="21"/>
      <c r="B154" s="20" t="s">
        <v>135</v>
      </c>
      <c r="C154" s="20">
        <v>1.0</v>
      </c>
      <c r="D154" s="20">
        <v>0.0</v>
      </c>
      <c r="E154" s="20">
        <v>17.0</v>
      </c>
      <c r="F154" s="22">
        <f t="shared" si="29"/>
        <v>0</v>
      </c>
    </row>
    <row r="155" ht="15.75" hidden="1" customHeight="1">
      <c r="A155" s="21"/>
      <c r="B155" s="21" t="s">
        <v>136</v>
      </c>
      <c r="C155" s="21">
        <v>1.0</v>
      </c>
      <c r="D155" s="20">
        <v>0.0</v>
      </c>
      <c r="E155" s="21">
        <v>23.0</v>
      </c>
      <c r="F155" s="22">
        <f t="shared" si="29"/>
        <v>0</v>
      </c>
    </row>
    <row r="156" ht="15.75" customHeight="1">
      <c r="A156" s="21"/>
      <c r="B156" s="21" t="s">
        <v>137</v>
      </c>
      <c r="C156" s="21">
        <v>1.0</v>
      </c>
      <c r="D156" s="20">
        <v>120.0</v>
      </c>
      <c r="E156" s="21">
        <v>30.0</v>
      </c>
      <c r="F156" s="22">
        <f t="shared" si="29"/>
        <v>3600</v>
      </c>
    </row>
    <row r="157" ht="15.75" hidden="1" customHeight="1">
      <c r="A157" s="21"/>
      <c r="B157" s="20" t="s">
        <v>138</v>
      </c>
      <c r="C157" s="20">
        <v>1.0</v>
      </c>
      <c r="D157" s="20">
        <v>0.0</v>
      </c>
      <c r="E157" s="20">
        <v>50.0</v>
      </c>
      <c r="F157" s="22">
        <f t="shared" si="29"/>
        <v>0</v>
      </c>
    </row>
    <row r="158" ht="15.75" hidden="1" customHeight="1">
      <c r="A158" s="21"/>
      <c r="B158" s="21" t="s">
        <v>139</v>
      </c>
      <c r="C158" s="21">
        <v>1.0</v>
      </c>
      <c r="D158" s="29">
        <v>0.0</v>
      </c>
      <c r="E158" s="21">
        <v>7.0</v>
      </c>
      <c r="F158" s="22">
        <f t="shared" si="29"/>
        <v>0</v>
      </c>
    </row>
    <row r="159" ht="15.75" customHeight="1">
      <c r="A159" s="32"/>
      <c r="B159" s="33"/>
      <c r="C159" s="32"/>
      <c r="D159" s="34"/>
      <c r="E159" s="34"/>
      <c r="F159" s="35"/>
    </row>
    <row r="160" ht="15.75" customHeight="1">
      <c r="A160" s="36"/>
      <c r="B160" s="19" t="s">
        <v>140</v>
      </c>
      <c r="C160" s="36"/>
      <c r="D160" s="21"/>
      <c r="E160" s="21"/>
      <c r="F160" s="22">
        <f>SUM(F8:F137)</f>
        <v>110862</v>
      </c>
    </row>
    <row r="161" ht="15.75" customHeight="1">
      <c r="A161" s="36"/>
      <c r="B161" s="19" t="s">
        <v>121</v>
      </c>
      <c r="C161" s="36"/>
      <c r="D161" s="21"/>
      <c r="E161" s="21"/>
      <c r="F161" s="22">
        <f>SUM(F141:F150)</f>
        <v>19500</v>
      </c>
    </row>
    <row r="162" ht="15.75" customHeight="1">
      <c r="A162" s="25"/>
      <c r="B162" s="24" t="s">
        <v>133</v>
      </c>
      <c r="C162" s="24"/>
      <c r="D162" s="25"/>
      <c r="E162" s="25"/>
      <c r="F162" s="37">
        <f>SUM(F153:F158)</f>
        <v>3600</v>
      </c>
    </row>
    <row r="163" ht="15.75" customHeight="1">
      <c r="A163" s="21"/>
      <c r="B163" s="19"/>
      <c r="C163" s="19"/>
      <c r="D163" s="21"/>
      <c r="E163" s="21"/>
      <c r="F163" s="38">
        <v>1.0</v>
      </c>
    </row>
    <row r="164" ht="15.75" customHeight="1">
      <c r="A164" s="21"/>
      <c r="B164" s="19" t="s">
        <v>141</v>
      </c>
      <c r="C164" s="19"/>
      <c r="D164" s="21"/>
      <c r="E164" s="21"/>
      <c r="F164" s="22">
        <f>F160+F161+F162</f>
        <v>133962</v>
      </c>
    </row>
    <row r="165" ht="15.75" customHeight="1">
      <c r="A165" s="21"/>
      <c r="B165" s="19" t="s">
        <v>142</v>
      </c>
      <c r="C165" s="39">
        <v>20.0</v>
      </c>
      <c r="D165" s="18" t="s">
        <v>143</v>
      </c>
      <c r="E165" s="21"/>
      <c r="F165" s="22">
        <f>-(F160/100)*C165</f>
        <v>-22172.4</v>
      </c>
    </row>
    <row r="166" ht="15.75" customHeight="1">
      <c r="A166" s="21"/>
      <c r="B166" s="19"/>
      <c r="C166" s="19"/>
      <c r="D166" s="18"/>
      <c r="E166" s="21"/>
      <c r="F166" s="22"/>
    </row>
    <row r="167" ht="15.75" customHeight="1">
      <c r="D167" s="21"/>
      <c r="E167" s="21"/>
      <c r="F167" s="22"/>
    </row>
    <row r="168" ht="15.75" customHeight="1">
      <c r="B168" s="40" t="s">
        <v>144</v>
      </c>
      <c r="C168" s="40"/>
      <c r="D168" s="41"/>
      <c r="E168" s="41"/>
      <c r="F168" s="42">
        <f>SUM(F164:F165)</f>
        <v>111789.6</v>
      </c>
    </row>
    <row r="169" ht="15.75" customHeight="1">
      <c r="F169" s="43"/>
    </row>
    <row r="170" ht="15.75" customHeight="1">
      <c r="F170" s="43"/>
    </row>
    <row r="171" ht="15.75" customHeight="1">
      <c r="F171" s="43"/>
    </row>
    <row r="172" ht="15.75" customHeight="1">
      <c r="F172" s="43"/>
    </row>
    <row r="173" ht="15.75" customHeight="1">
      <c r="F173" s="43"/>
    </row>
    <row r="174" ht="15.75" customHeight="1">
      <c r="F174" s="43"/>
    </row>
    <row r="175" ht="15.75" customHeight="1">
      <c r="F175" s="43"/>
    </row>
    <row r="176" ht="15.75" customHeight="1">
      <c r="F176" s="43"/>
    </row>
    <row r="177" ht="15.75" customHeight="1">
      <c r="F177" s="43"/>
    </row>
    <row r="178" ht="15.75" customHeight="1">
      <c r="F178" s="43"/>
    </row>
    <row r="179" ht="15.75" customHeight="1">
      <c r="F179" s="43"/>
    </row>
    <row r="180" ht="15.75" customHeight="1">
      <c r="F180" s="43"/>
    </row>
    <row r="181" ht="15.75" customHeight="1">
      <c r="F181" s="43"/>
    </row>
    <row r="182" ht="15.75" customHeight="1">
      <c r="F182" s="43"/>
    </row>
    <row r="183" ht="15.75" customHeight="1">
      <c r="F183" s="43"/>
    </row>
    <row r="184" ht="15.75" customHeight="1">
      <c r="F184" s="43"/>
    </row>
    <row r="185" ht="15.75" customHeight="1">
      <c r="F185" s="43"/>
    </row>
    <row r="186" ht="15.75" customHeight="1">
      <c r="F186" s="43"/>
    </row>
    <row r="187" ht="15.75" customHeight="1">
      <c r="F187" s="43"/>
    </row>
    <row r="188" ht="15.75" customHeight="1">
      <c r="F188" s="43"/>
    </row>
    <row r="189" ht="15.75" customHeight="1">
      <c r="F189" s="43"/>
    </row>
    <row r="190" ht="15.75" customHeight="1">
      <c r="F190" s="43"/>
    </row>
    <row r="191" ht="15.75" customHeight="1">
      <c r="F191" s="43"/>
    </row>
    <row r="192" ht="15.75" customHeight="1">
      <c r="F192" s="43"/>
    </row>
    <row r="193" ht="15.75" customHeight="1">
      <c r="F193" s="43"/>
    </row>
    <row r="194" ht="15.75" customHeight="1">
      <c r="F194" s="43"/>
    </row>
    <row r="195" ht="15.75" customHeight="1">
      <c r="F195" s="43"/>
    </row>
    <row r="196" ht="15.75" customHeight="1">
      <c r="F196" s="43"/>
    </row>
    <row r="197" ht="15.75" customHeight="1">
      <c r="F197" s="43"/>
    </row>
    <row r="198" ht="15.75" customHeight="1">
      <c r="F198" s="43"/>
    </row>
    <row r="199" ht="15.75" customHeight="1">
      <c r="F199" s="43"/>
    </row>
    <row r="200" ht="15.75" customHeight="1">
      <c r="F200" s="43"/>
    </row>
    <row r="201" ht="15.75" customHeight="1">
      <c r="F201" s="43"/>
    </row>
    <row r="202" ht="15.75" customHeight="1">
      <c r="F202" s="43"/>
    </row>
    <row r="203" ht="15.75" customHeight="1">
      <c r="F203" s="43"/>
    </row>
    <row r="204" ht="15.75" customHeight="1">
      <c r="F204" s="43"/>
    </row>
    <row r="205" ht="15.75" customHeight="1">
      <c r="F205" s="43"/>
    </row>
    <row r="206" ht="15.75" customHeight="1">
      <c r="F206" s="43"/>
    </row>
    <row r="207" ht="15.75" customHeight="1">
      <c r="F207" s="43"/>
    </row>
    <row r="208" ht="15.75" customHeight="1">
      <c r="F208" s="43"/>
    </row>
    <row r="209" ht="15.75" customHeight="1">
      <c r="F209" s="43"/>
    </row>
    <row r="210" ht="15.75" customHeight="1">
      <c r="F210" s="43"/>
    </row>
    <row r="211" ht="15.75" customHeight="1">
      <c r="F211" s="43"/>
    </row>
    <row r="212" ht="15.75" customHeight="1">
      <c r="F212" s="43"/>
    </row>
    <row r="213" ht="15.75" customHeight="1">
      <c r="F213" s="43"/>
    </row>
    <row r="214" ht="15.75" customHeight="1">
      <c r="F214" s="43"/>
    </row>
    <row r="215" ht="15.75" customHeight="1">
      <c r="F215" s="43"/>
    </row>
    <row r="216" ht="15.75" customHeight="1">
      <c r="F216" s="43"/>
    </row>
    <row r="217" ht="15.75" customHeight="1">
      <c r="F217" s="43"/>
    </row>
    <row r="218" ht="15.75" customHeight="1">
      <c r="F218" s="43"/>
    </row>
    <row r="219" ht="15.75" customHeight="1">
      <c r="F219" s="43"/>
    </row>
    <row r="220" ht="15.75" customHeight="1">
      <c r="F220" s="43"/>
    </row>
    <row r="221" ht="15.75" customHeight="1">
      <c r="F221" s="43"/>
    </row>
    <row r="222" ht="15.75" customHeight="1">
      <c r="F222" s="43"/>
    </row>
    <row r="223" ht="15.75" customHeight="1">
      <c r="F223" s="43"/>
    </row>
    <row r="224" ht="15.75" customHeight="1">
      <c r="F224" s="43"/>
    </row>
    <row r="225" ht="15.75" customHeight="1">
      <c r="F225" s="43"/>
    </row>
    <row r="226" ht="15.75" customHeight="1">
      <c r="F226" s="43"/>
    </row>
    <row r="227" ht="15.75" customHeight="1">
      <c r="F227" s="43"/>
    </row>
    <row r="228" ht="15.75" customHeight="1">
      <c r="F228" s="43"/>
    </row>
    <row r="229" ht="15.75" customHeight="1">
      <c r="F229" s="43"/>
    </row>
    <row r="230" ht="15.75" customHeight="1">
      <c r="F230" s="43"/>
    </row>
    <row r="231" ht="15.75" customHeight="1">
      <c r="F231" s="43"/>
    </row>
    <row r="232" ht="15.75" customHeight="1">
      <c r="F232" s="43"/>
    </row>
    <row r="233" ht="15.75" customHeight="1">
      <c r="F233" s="43"/>
    </row>
    <row r="234" ht="15.75" customHeight="1">
      <c r="F234" s="43"/>
    </row>
    <row r="235" ht="15.75" customHeight="1">
      <c r="F235" s="43"/>
    </row>
    <row r="236" ht="15.75" customHeight="1">
      <c r="F236" s="43"/>
    </row>
    <row r="237" ht="15.75" customHeight="1">
      <c r="F237" s="43"/>
    </row>
    <row r="238" ht="15.75" customHeight="1">
      <c r="F238" s="43"/>
    </row>
    <row r="239" ht="15.75" customHeight="1">
      <c r="F239" s="43"/>
    </row>
    <row r="240" ht="15.75" customHeight="1">
      <c r="F240" s="43"/>
    </row>
    <row r="241" ht="15.75" customHeight="1">
      <c r="F241" s="43"/>
    </row>
    <row r="242" ht="15.75" customHeight="1">
      <c r="F242" s="43"/>
    </row>
    <row r="243" ht="15.75" customHeight="1">
      <c r="F243" s="43"/>
    </row>
    <row r="244" ht="15.75" customHeight="1">
      <c r="F244" s="43"/>
    </row>
    <row r="245" ht="15.75" customHeight="1">
      <c r="F245" s="43"/>
    </row>
    <row r="246" ht="15.75" customHeight="1">
      <c r="F246" s="43"/>
    </row>
    <row r="247" ht="15.75" customHeight="1">
      <c r="F247" s="43"/>
    </row>
    <row r="248" ht="15.75" customHeight="1">
      <c r="F248" s="43"/>
    </row>
    <row r="249" ht="15.75" customHeight="1">
      <c r="F249" s="43"/>
    </row>
    <row r="250" ht="15.75" customHeight="1">
      <c r="F250" s="43"/>
    </row>
    <row r="251" ht="15.75" customHeight="1">
      <c r="F251" s="43"/>
    </row>
    <row r="252" ht="15.75" customHeight="1">
      <c r="F252" s="43"/>
    </row>
    <row r="253" ht="15.75" customHeight="1">
      <c r="F253" s="43"/>
    </row>
    <row r="254" ht="15.75" customHeight="1">
      <c r="F254" s="43"/>
    </row>
    <row r="255" ht="15.75" customHeight="1">
      <c r="F255" s="43"/>
    </row>
    <row r="256" ht="15.75" customHeight="1">
      <c r="F256" s="43"/>
    </row>
    <row r="257" ht="15.75" customHeight="1">
      <c r="F257" s="43"/>
    </row>
    <row r="258" ht="15.75" customHeight="1">
      <c r="F258" s="43"/>
    </row>
    <row r="259" ht="15.75" customHeight="1">
      <c r="F259" s="43"/>
    </row>
    <row r="260" ht="15.75" customHeight="1">
      <c r="F260" s="43"/>
    </row>
    <row r="261" ht="15.75" customHeight="1">
      <c r="F261" s="43"/>
    </row>
    <row r="262" ht="15.75" customHeight="1">
      <c r="F262" s="43"/>
    </row>
    <row r="263" ht="15.75" customHeight="1">
      <c r="F263" s="43"/>
    </row>
    <row r="264" ht="15.75" customHeight="1">
      <c r="F264" s="43"/>
    </row>
    <row r="265" ht="15.75" customHeight="1">
      <c r="F265" s="43"/>
    </row>
    <row r="266" ht="15.75" customHeight="1">
      <c r="F266" s="43"/>
    </row>
    <row r="267" ht="15.75" customHeight="1">
      <c r="F267" s="43"/>
    </row>
    <row r="268" ht="15.75" customHeight="1">
      <c r="F268" s="43"/>
    </row>
    <row r="269" ht="15.75" customHeight="1">
      <c r="F269" s="43"/>
    </row>
    <row r="270" ht="15.75" customHeight="1">
      <c r="F270" s="43"/>
    </row>
    <row r="271" ht="15.75" customHeight="1">
      <c r="F271" s="43"/>
    </row>
    <row r="272" ht="15.75" customHeight="1">
      <c r="F272" s="43"/>
    </row>
    <row r="273" ht="15.75" customHeight="1">
      <c r="F273" s="43"/>
    </row>
    <row r="274" ht="15.75" customHeight="1">
      <c r="F274" s="43"/>
    </row>
    <row r="275" ht="15.75" customHeight="1">
      <c r="F275" s="43"/>
    </row>
    <row r="276" ht="15.75" customHeight="1">
      <c r="F276" s="43"/>
    </row>
    <row r="277" ht="15.75" customHeight="1">
      <c r="F277" s="43"/>
    </row>
    <row r="278" ht="15.75" customHeight="1">
      <c r="F278" s="43"/>
    </row>
    <row r="279" ht="15.75" customHeight="1">
      <c r="F279" s="43"/>
    </row>
    <row r="280" ht="15.75" customHeight="1">
      <c r="F280" s="43"/>
    </row>
    <row r="281" ht="15.75" customHeight="1">
      <c r="F281" s="43"/>
    </row>
    <row r="282" ht="15.75" customHeight="1">
      <c r="F282" s="43"/>
    </row>
    <row r="283" ht="15.75" customHeight="1">
      <c r="F283" s="43"/>
    </row>
    <row r="284" ht="15.75" customHeight="1">
      <c r="F284" s="43"/>
    </row>
    <row r="285" ht="15.75" customHeight="1">
      <c r="F285" s="43"/>
    </row>
    <row r="286" ht="15.75" customHeight="1">
      <c r="F286" s="43"/>
    </row>
    <row r="287" ht="15.75" customHeight="1">
      <c r="F287" s="43"/>
    </row>
    <row r="288" ht="15.75" customHeight="1">
      <c r="F288" s="43"/>
    </row>
    <row r="289" ht="15.75" customHeight="1">
      <c r="F289" s="43"/>
    </row>
    <row r="290" ht="15.75" customHeight="1">
      <c r="F290" s="43"/>
    </row>
    <row r="291" ht="15.75" customHeight="1">
      <c r="F291" s="43"/>
    </row>
    <row r="292" ht="15.75" customHeight="1">
      <c r="F292" s="43"/>
    </row>
    <row r="293" ht="15.75" customHeight="1">
      <c r="F293" s="43"/>
    </row>
    <row r="294" ht="15.75" customHeight="1">
      <c r="F294" s="43"/>
    </row>
    <row r="295" ht="15.75" customHeight="1">
      <c r="F295" s="43"/>
    </row>
    <row r="296" ht="15.75" customHeight="1">
      <c r="F296" s="43"/>
    </row>
    <row r="297" ht="15.75" customHeight="1">
      <c r="F297" s="43"/>
    </row>
    <row r="298" ht="15.75" customHeight="1">
      <c r="F298" s="43"/>
    </row>
    <row r="299" ht="15.75" customHeight="1">
      <c r="F299" s="43"/>
    </row>
    <row r="300" ht="15.75" customHeight="1">
      <c r="F300" s="43"/>
    </row>
    <row r="301" ht="15.75" customHeight="1">
      <c r="F301" s="43"/>
    </row>
    <row r="302" ht="15.75" customHeight="1">
      <c r="F302" s="43"/>
    </row>
    <row r="303" ht="15.75" customHeight="1">
      <c r="F303" s="43"/>
    </row>
    <row r="304" ht="15.75" customHeight="1">
      <c r="F304" s="43"/>
    </row>
    <row r="305" ht="15.75" customHeight="1">
      <c r="F305" s="43"/>
    </row>
    <row r="306" ht="15.75" customHeight="1">
      <c r="F306" s="43"/>
    </row>
    <row r="307" ht="15.75" customHeight="1">
      <c r="F307" s="43"/>
    </row>
    <row r="308" ht="15.75" customHeight="1">
      <c r="F308" s="43"/>
    </row>
    <row r="309" ht="15.75" customHeight="1">
      <c r="F309" s="43"/>
    </row>
    <row r="310" ht="15.75" customHeight="1">
      <c r="F310" s="43"/>
    </row>
    <row r="311" ht="15.75" customHeight="1">
      <c r="F311" s="43"/>
    </row>
    <row r="312" ht="15.75" customHeight="1">
      <c r="F312" s="43"/>
    </row>
    <row r="313" ht="15.75" customHeight="1">
      <c r="F313" s="43"/>
    </row>
    <row r="314" ht="15.75" customHeight="1">
      <c r="F314" s="43"/>
    </row>
    <row r="315" ht="15.75" customHeight="1">
      <c r="F315" s="43"/>
    </row>
    <row r="316" ht="15.75" customHeight="1">
      <c r="F316" s="43"/>
    </row>
    <row r="317" ht="15.75" customHeight="1">
      <c r="F317" s="43"/>
    </row>
    <row r="318" ht="15.75" customHeight="1">
      <c r="F318" s="43"/>
    </row>
    <row r="319" ht="15.75" customHeight="1">
      <c r="F319" s="43"/>
    </row>
    <row r="320" ht="15.75" customHeight="1">
      <c r="F320" s="43"/>
    </row>
    <row r="321" ht="15.75" customHeight="1">
      <c r="F321" s="43"/>
    </row>
    <row r="322" ht="15.75" customHeight="1">
      <c r="F322" s="43"/>
    </row>
    <row r="323" ht="15.75" customHeight="1">
      <c r="F323" s="43"/>
    </row>
    <row r="324" ht="15.75" customHeight="1">
      <c r="F324" s="43"/>
    </row>
    <row r="325" ht="15.75" customHeight="1">
      <c r="F325" s="43"/>
    </row>
    <row r="326" ht="15.75" customHeight="1">
      <c r="F326" s="43"/>
    </row>
    <row r="327" ht="15.75" customHeight="1">
      <c r="F327" s="43"/>
    </row>
    <row r="328" ht="15.75" customHeight="1">
      <c r="F328" s="43"/>
    </row>
    <row r="329" ht="15.75" customHeight="1">
      <c r="F329" s="43"/>
    </row>
    <row r="330" ht="15.75" customHeight="1">
      <c r="F330" s="43"/>
    </row>
    <row r="331" ht="15.75" customHeight="1">
      <c r="F331" s="43"/>
    </row>
    <row r="332" ht="15.75" customHeight="1">
      <c r="F332" s="43"/>
    </row>
    <row r="333" ht="15.75" customHeight="1">
      <c r="F333" s="43"/>
    </row>
    <row r="334" ht="15.75" customHeight="1">
      <c r="F334" s="43"/>
    </row>
    <row r="335" ht="15.75" customHeight="1">
      <c r="F335" s="43"/>
    </row>
    <row r="336" ht="15.75" customHeight="1">
      <c r="F336" s="43"/>
    </row>
    <row r="337" ht="15.75" customHeight="1">
      <c r="F337" s="43"/>
    </row>
    <row r="338" ht="15.75" customHeight="1">
      <c r="F338" s="43"/>
    </row>
    <row r="339" ht="15.75" customHeight="1">
      <c r="F339" s="43"/>
    </row>
    <row r="340" ht="15.75" customHeight="1">
      <c r="F340" s="43"/>
    </row>
    <row r="341" ht="15.75" customHeight="1">
      <c r="F341" s="43"/>
    </row>
    <row r="342" ht="15.75" customHeight="1">
      <c r="F342" s="43"/>
    </row>
    <row r="343" ht="15.75" customHeight="1">
      <c r="F343" s="43"/>
    </row>
    <row r="344" ht="15.75" customHeight="1">
      <c r="F344" s="43"/>
    </row>
    <row r="345" ht="15.75" customHeight="1">
      <c r="F345" s="43"/>
    </row>
    <row r="346" ht="15.75" customHeight="1">
      <c r="F346" s="43"/>
    </row>
    <row r="347" ht="15.75" customHeight="1">
      <c r="F347" s="43"/>
    </row>
    <row r="348" ht="15.75" customHeight="1">
      <c r="F348" s="43"/>
    </row>
    <row r="349" ht="15.75" customHeight="1">
      <c r="F349" s="43"/>
    </row>
    <row r="350" ht="15.75" customHeight="1">
      <c r="F350" s="43"/>
    </row>
    <row r="351" ht="15.75" customHeight="1">
      <c r="F351" s="43"/>
    </row>
    <row r="352" ht="15.75" customHeight="1">
      <c r="F352" s="43"/>
    </row>
    <row r="353" ht="15.75" customHeight="1">
      <c r="F353" s="43"/>
    </row>
    <row r="354" ht="15.75" customHeight="1">
      <c r="F354" s="43"/>
    </row>
    <row r="355" ht="15.75" customHeight="1">
      <c r="F355" s="43"/>
    </row>
    <row r="356" ht="15.75" customHeight="1">
      <c r="F356" s="43"/>
    </row>
    <row r="357" ht="15.75" customHeight="1">
      <c r="F357" s="43"/>
    </row>
    <row r="358" ht="15.75" customHeight="1">
      <c r="F358" s="43"/>
    </row>
    <row r="359" ht="15.75" customHeight="1">
      <c r="F359" s="43"/>
    </row>
    <row r="360" ht="15.75" customHeight="1">
      <c r="F360" s="43"/>
    </row>
    <row r="361" ht="15.75" customHeight="1">
      <c r="F361" s="43"/>
    </row>
    <row r="362" ht="15.75" customHeight="1">
      <c r="F362" s="43"/>
    </row>
    <row r="363" ht="15.75" customHeight="1">
      <c r="F363" s="43"/>
    </row>
    <row r="364" ht="15.75" customHeight="1">
      <c r="F364" s="43"/>
    </row>
    <row r="365" ht="15.75" customHeight="1">
      <c r="F365" s="43"/>
    </row>
    <row r="366" ht="15.75" customHeight="1">
      <c r="F366" s="43"/>
    </row>
    <row r="367" ht="15.75" customHeight="1">
      <c r="F367" s="43"/>
    </row>
    <row r="368" ht="15.75" customHeight="1">
      <c r="F368" s="43"/>
    </row>
    <row r="369" ht="15.75" customHeight="1">
      <c r="F369" s="43"/>
    </row>
    <row r="370" ht="15.75" customHeight="1">
      <c r="F370" s="43"/>
    </row>
    <row r="371" ht="15.75" customHeight="1">
      <c r="F371" s="43"/>
    </row>
    <row r="372" ht="15.75" customHeight="1">
      <c r="F372" s="43"/>
    </row>
    <row r="373" ht="15.75" customHeight="1">
      <c r="F373" s="43"/>
    </row>
    <row r="374" ht="15.75" customHeight="1">
      <c r="F374" s="43"/>
    </row>
    <row r="375" ht="15.75" customHeight="1">
      <c r="F375" s="43"/>
    </row>
    <row r="376" ht="15.75" customHeight="1">
      <c r="F376" s="43"/>
    </row>
    <row r="377" ht="15.75" customHeight="1">
      <c r="F377" s="43"/>
    </row>
    <row r="378" ht="15.75" customHeight="1">
      <c r="F378" s="43"/>
    </row>
    <row r="379" ht="15.75" customHeight="1">
      <c r="F379" s="43"/>
    </row>
    <row r="380" ht="15.75" customHeight="1">
      <c r="F380" s="43"/>
    </row>
    <row r="381" ht="15.75" customHeight="1">
      <c r="F381" s="43"/>
    </row>
    <row r="382" ht="15.75" customHeight="1">
      <c r="F382" s="43"/>
    </row>
    <row r="383" ht="15.75" customHeight="1">
      <c r="F383" s="43"/>
    </row>
    <row r="384" ht="15.75" customHeight="1">
      <c r="F384" s="43"/>
    </row>
    <row r="385" ht="15.75" customHeight="1">
      <c r="F385" s="43"/>
    </row>
    <row r="386" ht="15.75" customHeight="1">
      <c r="F386" s="43"/>
    </row>
    <row r="387" ht="15.75" customHeight="1">
      <c r="F387" s="43"/>
    </row>
    <row r="388" ht="15.75" customHeight="1">
      <c r="F388" s="43"/>
    </row>
    <row r="389" ht="15.75" customHeight="1">
      <c r="F389" s="43"/>
    </row>
    <row r="390" ht="15.75" customHeight="1">
      <c r="F390" s="43"/>
    </row>
    <row r="391" ht="15.75" customHeight="1">
      <c r="F391" s="43"/>
    </row>
    <row r="392" ht="15.75" customHeight="1">
      <c r="F392" s="43"/>
    </row>
    <row r="393" ht="15.75" customHeight="1">
      <c r="F393" s="43"/>
    </row>
    <row r="394" ht="15.75" customHeight="1">
      <c r="F394" s="43"/>
    </row>
    <row r="395" ht="15.75" customHeight="1">
      <c r="F395" s="43"/>
    </row>
    <row r="396" ht="15.75" customHeight="1">
      <c r="F396" s="43"/>
    </row>
    <row r="397" ht="15.75" customHeight="1">
      <c r="F397" s="43"/>
    </row>
    <row r="398" ht="15.75" customHeight="1">
      <c r="F398" s="43"/>
    </row>
    <row r="399" ht="15.75" customHeight="1">
      <c r="F399" s="43"/>
    </row>
    <row r="400" ht="15.75" customHeight="1">
      <c r="F400" s="43"/>
    </row>
    <row r="401" ht="15.75" customHeight="1">
      <c r="F401" s="43"/>
    </row>
    <row r="402" ht="15.75" customHeight="1">
      <c r="F402" s="43"/>
    </row>
    <row r="403" ht="15.75" customHeight="1">
      <c r="F403" s="43"/>
    </row>
    <row r="404" ht="15.75" customHeight="1">
      <c r="F404" s="43"/>
    </row>
    <row r="405" ht="15.75" customHeight="1">
      <c r="F405" s="43"/>
    </row>
    <row r="406" ht="15.75" customHeight="1">
      <c r="F406" s="43"/>
    </row>
    <row r="407" ht="15.75" customHeight="1">
      <c r="F407" s="43"/>
    </row>
    <row r="408" ht="15.75" customHeight="1">
      <c r="F408" s="43"/>
    </row>
    <row r="409" ht="15.75" customHeight="1">
      <c r="F409" s="43"/>
    </row>
    <row r="410" ht="15.75" customHeight="1">
      <c r="F410" s="43"/>
    </row>
    <row r="411" ht="15.75" customHeight="1">
      <c r="F411" s="43"/>
    </row>
    <row r="412" ht="15.75" customHeight="1">
      <c r="F412" s="43"/>
    </row>
    <row r="413" ht="15.75" customHeight="1">
      <c r="F413" s="43"/>
    </row>
    <row r="414" ht="15.75" customHeight="1">
      <c r="F414" s="43"/>
    </row>
    <row r="415" ht="15.75" customHeight="1">
      <c r="F415" s="43"/>
    </row>
    <row r="416" ht="15.75" customHeight="1">
      <c r="F416" s="43"/>
    </row>
    <row r="417" ht="15.75" customHeight="1">
      <c r="F417" s="43"/>
    </row>
    <row r="418" ht="15.75" customHeight="1">
      <c r="F418" s="43"/>
    </row>
    <row r="419" ht="15.75" customHeight="1">
      <c r="F419" s="43"/>
    </row>
    <row r="420" ht="15.75" customHeight="1">
      <c r="F420" s="43"/>
    </row>
    <row r="421" ht="15.75" customHeight="1">
      <c r="F421" s="43"/>
    </row>
    <row r="422" ht="15.75" customHeight="1">
      <c r="F422" s="43"/>
    </row>
    <row r="423" ht="15.75" customHeight="1">
      <c r="F423" s="43"/>
    </row>
    <row r="424" ht="15.75" customHeight="1">
      <c r="F424" s="43"/>
    </row>
    <row r="425" ht="15.75" customHeight="1">
      <c r="F425" s="43"/>
    </row>
    <row r="426" ht="15.75" customHeight="1">
      <c r="F426" s="43"/>
    </row>
    <row r="427" ht="15.75" customHeight="1">
      <c r="F427" s="43"/>
    </row>
    <row r="428" ht="15.75" customHeight="1">
      <c r="F428" s="43"/>
    </row>
    <row r="429" ht="15.75" customHeight="1">
      <c r="F429" s="43"/>
    </row>
    <row r="430" ht="15.75" customHeight="1">
      <c r="F430" s="43"/>
    </row>
    <row r="431" ht="15.75" customHeight="1">
      <c r="F431" s="43"/>
    </row>
    <row r="432" ht="15.75" customHeight="1">
      <c r="F432" s="43"/>
    </row>
    <row r="433" ht="15.75" customHeight="1">
      <c r="F433" s="43"/>
    </row>
    <row r="434" ht="15.75" customHeight="1">
      <c r="F434" s="43"/>
    </row>
    <row r="435" ht="15.75" customHeight="1">
      <c r="F435" s="43"/>
    </row>
    <row r="436" ht="15.75" customHeight="1">
      <c r="F436" s="43"/>
    </row>
    <row r="437" ht="15.75" customHeight="1">
      <c r="F437" s="43"/>
    </row>
    <row r="438" ht="15.75" customHeight="1">
      <c r="F438" s="43"/>
    </row>
    <row r="439" ht="15.75" customHeight="1">
      <c r="F439" s="43"/>
    </row>
    <row r="440" ht="15.75" customHeight="1">
      <c r="F440" s="43"/>
    </row>
    <row r="441" ht="15.75" customHeight="1">
      <c r="F441" s="43"/>
    </row>
    <row r="442" ht="15.75" customHeight="1">
      <c r="F442" s="43"/>
    </row>
    <row r="443" ht="15.75" customHeight="1">
      <c r="F443" s="43"/>
    </row>
    <row r="444" ht="15.75" customHeight="1">
      <c r="F444" s="43"/>
    </row>
    <row r="445" ht="15.75" customHeight="1">
      <c r="F445" s="43"/>
    </row>
    <row r="446" ht="15.75" customHeight="1">
      <c r="F446" s="43"/>
    </row>
    <row r="447" ht="15.75" customHeight="1">
      <c r="F447" s="43"/>
    </row>
    <row r="448" ht="15.75" customHeight="1">
      <c r="F448" s="43"/>
    </row>
    <row r="449" ht="15.75" customHeight="1">
      <c r="F449" s="43"/>
    </row>
    <row r="450" ht="15.75" customHeight="1">
      <c r="F450" s="43"/>
    </row>
    <row r="451" ht="15.75" customHeight="1">
      <c r="F451" s="43"/>
    </row>
    <row r="452" ht="15.75" customHeight="1">
      <c r="F452" s="43"/>
    </row>
    <row r="453" ht="15.75" customHeight="1">
      <c r="F453" s="43"/>
    </row>
    <row r="454" ht="15.75" customHeight="1">
      <c r="F454" s="43"/>
    </row>
    <row r="455" ht="15.75" customHeight="1">
      <c r="F455" s="43"/>
    </row>
    <row r="456" ht="15.75" customHeight="1">
      <c r="F456" s="43"/>
    </row>
    <row r="457" ht="15.75" customHeight="1">
      <c r="F457" s="43"/>
    </row>
    <row r="458" ht="15.75" customHeight="1">
      <c r="F458" s="43"/>
    </row>
    <row r="459" ht="15.75" customHeight="1">
      <c r="F459" s="43"/>
    </row>
    <row r="460" ht="15.75" customHeight="1">
      <c r="F460" s="43"/>
    </row>
    <row r="461" ht="15.75" customHeight="1">
      <c r="F461" s="43"/>
    </row>
    <row r="462" ht="15.75" customHeight="1">
      <c r="F462" s="43"/>
    </row>
    <row r="463" ht="15.75" customHeight="1">
      <c r="F463" s="43"/>
    </row>
    <row r="464" ht="15.75" customHeight="1">
      <c r="F464" s="43"/>
    </row>
    <row r="465" ht="15.75" customHeight="1">
      <c r="F465" s="43"/>
    </row>
    <row r="466" ht="15.75" customHeight="1">
      <c r="F466" s="43"/>
    </row>
    <row r="467" ht="15.75" customHeight="1">
      <c r="F467" s="43"/>
    </row>
    <row r="468" ht="15.75" customHeight="1">
      <c r="F468" s="43"/>
    </row>
    <row r="469" ht="15.75" customHeight="1">
      <c r="F469" s="43"/>
    </row>
    <row r="470" ht="15.75" customHeight="1">
      <c r="F470" s="43"/>
    </row>
    <row r="471" ht="15.75" customHeight="1">
      <c r="F471" s="43"/>
    </row>
    <row r="472" ht="15.75" customHeight="1">
      <c r="F472" s="43"/>
    </row>
    <row r="473" ht="15.75" customHeight="1">
      <c r="F473" s="43"/>
    </row>
    <row r="474" ht="15.75" customHeight="1">
      <c r="F474" s="43"/>
    </row>
    <row r="475" ht="15.75" customHeight="1">
      <c r="F475" s="43"/>
    </row>
    <row r="476" ht="15.75" customHeight="1">
      <c r="F476" s="43"/>
    </row>
    <row r="477" ht="15.75" customHeight="1">
      <c r="F477" s="43"/>
    </row>
    <row r="478" ht="15.75" customHeight="1">
      <c r="F478" s="43"/>
    </row>
    <row r="479" ht="15.75" customHeight="1">
      <c r="F479" s="43"/>
    </row>
    <row r="480" ht="15.75" customHeight="1">
      <c r="F480" s="43"/>
    </row>
    <row r="481" ht="15.75" customHeight="1">
      <c r="F481" s="43"/>
    </row>
    <row r="482" ht="15.75" customHeight="1">
      <c r="F482" s="43"/>
    </row>
    <row r="483" ht="15.75" customHeight="1">
      <c r="F483" s="43"/>
    </row>
    <row r="484" ht="15.75" customHeight="1">
      <c r="F484" s="43"/>
    </row>
    <row r="485" ht="15.75" customHeight="1">
      <c r="F485" s="43"/>
    </row>
    <row r="486" ht="15.75" customHeight="1">
      <c r="F486" s="43"/>
    </row>
    <row r="487" ht="15.75" customHeight="1">
      <c r="F487" s="43"/>
    </row>
    <row r="488" ht="15.75" customHeight="1">
      <c r="F488" s="43"/>
    </row>
    <row r="489" ht="15.75" customHeight="1">
      <c r="F489" s="43"/>
    </row>
    <row r="490" ht="15.75" customHeight="1">
      <c r="F490" s="43"/>
    </row>
    <row r="491" ht="15.75" customHeight="1">
      <c r="F491" s="43"/>
    </row>
    <row r="492" ht="15.75" customHeight="1">
      <c r="F492" s="43"/>
    </row>
    <row r="493" ht="15.75" customHeight="1">
      <c r="F493" s="43"/>
    </row>
    <row r="494" ht="15.75" customHeight="1">
      <c r="F494" s="43"/>
    </row>
    <row r="495" ht="15.75" customHeight="1">
      <c r="F495" s="43"/>
    </row>
    <row r="496" ht="15.75" customHeight="1">
      <c r="F496" s="43"/>
    </row>
    <row r="497" ht="15.75" customHeight="1">
      <c r="F497" s="43"/>
    </row>
    <row r="498" ht="15.75" customHeight="1">
      <c r="F498" s="43"/>
    </row>
    <row r="499" ht="15.75" customHeight="1">
      <c r="F499" s="43"/>
    </row>
    <row r="500" ht="15.75" customHeight="1">
      <c r="F500" s="43"/>
    </row>
    <row r="501" ht="15.75" customHeight="1">
      <c r="F501" s="43"/>
    </row>
    <row r="502" ht="15.75" customHeight="1">
      <c r="F502" s="43"/>
    </row>
    <row r="503" ht="15.75" customHeight="1">
      <c r="F503" s="43"/>
    </row>
    <row r="504" ht="15.75" customHeight="1">
      <c r="F504" s="43"/>
    </row>
    <row r="505" ht="15.75" customHeight="1">
      <c r="F505" s="43"/>
    </row>
    <row r="506" ht="15.75" customHeight="1">
      <c r="F506" s="43"/>
    </row>
    <row r="507" ht="15.75" customHeight="1">
      <c r="F507" s="43"/>
    </row>
    <row r="508" ht="15.75" customHeight="1">
      <c r="F508" s="43"/>
    </row>
    <row r="509" ht="15.75" customHeight="1">
      <c r="F509" s="43"/>
    </row>
    <row r="510" ht="15.75" customHeight="1">
      <c r="F510" s="43"/>
    </row>
    <row r="511" ht="15.75" customHeight="1">
      <c r="F511" s="43"/>
    </row>
    <row r="512" ht="15.75" customHeight="1">
      <c r="F512" s="43"/>
    </row>
    <row r="513" ht="15.75" customHeight="1">
      <c r="F513" s="43"/>
    </row>
    <row r="514" ht="15.75" customHeight="1">
      <c r="F514" s="43"/>
    </row>
    <row r="515" ht="15.75" customHeight="1">
      <c r="F515" s="43"/>
    </row>
    <row r="516" ht="15.75" customHeight="1">
      <c r="F516" s="43"/>
    </row>
    <row r="517" ht="15.75" customHeight="1">
      <c r="F517" s="43"/>
    </row>
    <row r="518" ht="15.75" customHeight="1">
      <c r="F518" s="43"/>
    </row>
    <row r="519" ht="15.75" customHeight="1">
      <c r="F519" s="43"/>
    </row>
    <row r="520" ht="15.75" customHeight="1">
      <c r="F520" s="43"/>
    </row>
    <row r="521" ht="15.75" customHeight="1">
      <c r="F521" s="43"/>
    </row>
    <row r="522" ht="15.75" customHeight="1">
      <c r="F522" s="43"/>
    </row>
    <row r="523" ht="15.75" customHeight="1">
      <c r="F523" s="43"/>
    </row>
    <row r="524" ht="15.75" customHeight="1">
      <c r="F524" s="43"/>
    </row>
    <row r="525" ht="15.75" customHeight="1">
      <c r="F525" s="43"/>
    </row>
    <row r="526" ht="15.75" customHeight="1">
      <c r="F526" s="43"/>
    </row>
    <row r="527" ht="15.75" customHeight="1">
      <c r="F527" s="43"/>
    </row>
    <row r="528" ht="15.75" customHeight="1">
      <c r="F528" s="43"/>
    </row>
    <row r="529" ht="15.75" customHeight="1">
      <c r="F529" s="43"/>
    </row>
    <row r="530" ht="15.75" customHeight="1">
      <c r="F530" s="43"/>
    </row>
    <row r="531" ht="15.75" customHeight="1">
      <c r="F531" s="43"/>
    </row>
    <row r="532" ht="15.75" customHeight="1">
      <c r="F532" s="43"/>
    </row>
    <row r="533" ht="15.75" customHeight="1">
      <c r="F533" s="43"/>
    </row>
    <row r="534" ht="15.75" customHeight="1">
      <c r="F534" s="43"/>
    </row>
    <row r="535" ht="15.75" customHeight="1">
      <c r="F535" s="43"/>
    </row>
    <row r="536" ht="15.75" customHeight="1">
      <c r="F536" s="43"/>
    </row>
    <row r="537" ht="15.75" customHeight="1">
      <c r="F537" s="43"/>
    </row>
    <row r="538" ht="15.75" customHeight="1">
      <c r="F538" s="43"/>
    </row>
    <row r="539" ht="15.75" customHeight="1">
      <c r="F539" s="43"/>
    </row>
    <row r="540" ht="15.75" customHeight="1">
      <c r="F540" s="43"/>
    </row>
    <row r="541" ht="15.75" customHeight="1">
      <c r="F541" s="43"/>
    </row>
    <row r="542" ht="15.75" customHeight="1">
      <c r="F542" s="43"/>
    </row>
    <row r="543" ht="15.75" customHeight="1">
      <c r="F543" s="43"/>
    </row>
    <row r="544" ht="15.75" customHeight="1">
      <c r="F544" s="43"/>
    </row>
    <row r="545" ht="15.75" customHeight="1">
      <c r="F545" s="43"/>
    </row>
    <row r="546" ht="15.75" customHeight="1">
      <c r="F546" s="43"/>
    </row>
    <row r="547" ht="15.75" customHeight="1">
      <c r="F547" s="43"/>
    </row>
    <row r="548" ht="15.75" customHeight="1">
      <c r="F548" s="43"/>
    </row>
    <row r="549" ht="15.75" customHeight="1">
      <c r="F549" s="43"/>
    </row>
    <row r="550" ht="15.75" customHeight="1">
      <c r="F550" s="43"/>
    </row>
    <row r="551" ht="15.75" customHeight="1">
      <c r="F551" s="43"/>
    </row>
    <row r="552" ht="15.75" customHeight="1">
      <c r="F552" s="43"/>
    </row>
    <row r="553" ht="15.75" customHeight="1">
      <c r="F553" s="43"/>
    </row>
    <row r="554" ht="15.75" customHeight="1">
      <c r="F554" s="43"/>
    </row>
    <row r="555" ht="15.75" customHeight="1">
      <c r="F555" s="43"/>
    </row>
    <row r="556" ht="15.75" customHeight="1">
      <c r="F556" s="43"/>
    </row>
    <row r="557" ht="15.75" customHeight="1">
      <c r="F557" s="43"/>
    </row>
    <row r="558" ht="15.75" customHeight="1">
      <c r="F558" s="43"/>
    </row>
    <row r="559" ht="15.75" customHeight="1">
      <c r="F559" s="43"/>
    </row>
    <row r="560" ht="15.75" customHeight="1">
      <c r="F560" s="43"/>
    </row>
    <row r="561" ht="15.75" customHeight="1">
      <c r="F561" s="43"/>
    </row>
    <row r="562" ht="15.75" customHeight="1">
      <c r="F562" s="43"/>
    </row>
    <row r="563" ht="15.75" customHeight="1">
      <c r="F563" s="43"/>
    </row>
    <row r="564" ht="15.75" customHeight="1">
      <c r="F564" s="43"/>
    </row>
    <row r="565" ht="15.75" customHeight="1">
      <c r="F565" s="43"/>
    </row>
    <row r="566" ht="15.75" customHeight="1">
      <c r="F566" s="43"/>
    </row>
    <row r="567" ht="15.75" customHeight="1">
      <c r="F567" s="43"/>
    </row>
    <row r="568" ht="15.75" customHeight="1">
      <c r="F568" s="43"/>
    </row>
    <row r="569" ht="15.75" customHeight="1">
      <c r="F569" s="43"/>
    </row>
    <row r="570" ht="15.75" customHeight="1">
      <c r="F570" s="43"/>
    </row>
    <row r="571" ht="15.75" customHeight="1">
      <c r="F571" s="43"/>
    </row>
    <row r="572" ht="15.75" customHeight="1">
      <c r="F572" s="43"/>
    </row>
    <row r="573" ht="15.75" customHeight="1">
      <c r="F573" s="43"/>
    </row>
    <row r="574" ht="15.75" customHeight="1">
      <c r="F574" s="43"/>
    </row>
    <row r="575" ht="15.75" customHeight="1">
      <c r="F575" s="43"/>
    </row>
    <row r="576" ht="15.75" customHeight="1">
      <c r="F576" s="43"/>
    </row>
    <row r="577" ht="15.75" customHeight="1">
      <c r="F577" s="43"/>
    </row>
    <row r="578" ht="15.75" customHeight="1">
      <c r="F578" s="43"/>
    </row>
    <row r="579" ht="15.75" customHeight="1">
      <c r="F579" s="43"/>
    </row>
    <row r="580" ht="15.75" customHeight="1">
      <c r="F580" s="43"/>
    </row>
    <row r="581" ht="15.75" customHeight="1">
      <c r="F581" s="43"/>
    </row>
    <row r="582" ht="15.75" customHeight="1">
      <c r="F582" s="43"/>
    </row>
    <row r="583" ht="15.75" customHeight="1">
      <c r="F583" s="43"/>
    </row>
    <row r="584" ht="15.75" customHeight="1">
      <c r="F584" s="43"/>
    </row>
    <row r="585" ht="15.75" customHeight="1">
      <c r="F585" s="43"/>
    </row>
    <row r="586" ht="15.75" customHeight="1">
      <c r="F586" s="43"/>
    </row>
    <row r="587" ht="15.75" customHeight="1">
      <c r="F587" s="43"/>
    </row>
    <row r="588" ht="15.75" customHeight="1">
      <c r="F588" s="43"/>
    </row>
    <row r="589" ht="15.75" customHeight="1">
      <c r="F589" s="43"/>
    </row>
    <row r="590" ht="15.75" customHeight="1">
      <c r="F590" s="43"/>
    </row>
    <row r="591" ht="15.75" customHeight="1">
      <c r="F591" s="43"/>
    </row>
    <row r="592" ht="15.75" customHeight="1">
      <c r="F592" s="43"/>
    </row>
    <row r="593" ht="15.75" customHeight="1">
      <c r="F593" s="43"/>
    </row>
    <row r="594" ht="15.75" customHeight="1">
      <c r="F594" s="43"/>
    </row>
    <row r="595" ht="15.75" customHeight="1">
      <c r="F595" s="43"/>
    </row>
    <row r="596" ht="15.75" customHeight="1">
      <c r="F596" s="43"/>
    </row>
    <row r="597" ht="15.75" customHeight="1">
      <c r="F597" s="43"/>
    </row>
    <row r="598" ht="15.75" customHeight="1">
      <c r="F598" s="43"/>
    </row>
    <row r="599" ht="15.75" customHeight="1">
      <c r="F599" s="43"/>
    </row>
    <row r="600" ht="15.75" customHeight="1">
      <c r="F600" s="43"/>
    </row>
    <row r="601" ht="15.75" customHeight="1">
      <c r="F601" s="43"/>
    </row>
    <row r="602" ht="15.75" customHeight="1">
      <c r="F602" s="43"/>
    </row>
    <row r="603" ht="15.75" customHeight="1">
      <c r="F603" s="43"/>
    </row>
    <row r="604" ht="15.75" customHeight="1">
      <c r="F604" s="43"/>
    </row>
    <row r="605" ht="15.75" customHeight="1">
      <c r="F605" s="43"/>
    </row>
    <row r="606" ht="15.75" customHeight="1">
      <c r="F606" s="43"/>
    </row>
    <row r="607" ht="15.75" customHeight="1">
      <c r="F607" s="43"/>
    </row>
    <row r="608" ht="15.75" customHeight="1">
      <c r="F608" s="43"/>
    </row>
    <row r="609" ht="15.75" customHeight="1">
      <c r="F609" s="43"/>
    </row>
    <row r="610" ht="15.75" customHeight="1">
      <c r="F610" s="43"/>
    </row>
    <row r="611" ht="15.75" customHeight="1">
      <c r="F611" s="43"/>
    </row>
    <row r="612" ht="15.75" customHeight="1">
      <c r="F612" s="43"/>
    </row>
    <row r="613" ht="15.75" customHeight="1">
      <c r="F613" s="43"/>
    </row>
    <row r="614" ht="15.75" customHeight="1">
      <c r="F614" s="43"/>
    </row>
    <row r="615" ht="15.75" customHeight="1">
      <c r="F615" s="43"/>
    </row>
    <row r="616" ht="15.75" customHeight="1">
      <c r="F616" s="43"/>
    </row>
    <row r="617" ht="15.75" customHeight="1">
      <c r="F617" s="43"/>
    </row>
    <row r="618" ht="15.75" customHeight="1">
      <c r="F618" s="43"/>
    </row>
    <row r="619" ht="15.75" customHeight="1">
      <c r="F619" s="43"/>
    </row>
    <row r="620" ht="15.75" customHeight="1">
      <c r="F620" s="43"/>
    </row>
    <row r="621" ht="15.75" customHeight="1">
      <c r="F621" s="43"/>
    </row>
    <row r="622" ht="15.75" customHeight="1">
      <c r="F622" s="43"/>
    </row>
    <row r="623" ht="15.75" customHeight="1">
      <c r="F623" s="43"/>
    </row>
    <row r="624" ht="15.75" customHeight="1">
      <c r="F624" s="43"/>
    </row>
    <row r="625" ht="15.75" customHeight="1">
      <c r="F625" s="43"/>
    </row>
    <row r="626" ht="15.75" customHeight="1">
      <c r="F626" s="43"/>
    </row>
    <row r="627" ht="15.75" customHeight="1">
      <c r="F627" s="43"/>
    </row>
    <row r="628" ht="15.75" customHeight="1">
      <c r="F628" s="43"/>
    </row>
    <row r="629" ht="15.75" customHeight="1">
      <c r="F629" s="43"/>
    </row>
    <row r="630" ht="15.75" customHeight="1">
      <c r="F630" s="43"/>
    </row>
    <row r="631" ht="15.75" customHeight="1">
      <c r="F631" s="43"/>
    </row>
    <row r="632" ht="15.75" customHeight="1">
      <c r="F632" s="43"/>
    </row>
    <row r="633" ht="15.75" customHeight="1">
      <c r="F633" s="43"/>
    </row>
    <row r="634" ht="15.75" customHeight="1">
      <c r="F634" s="43"/>
    </row>
    <row r="635" ht="15.75" customHeight="1">
      <c r="F635" s="43"/>
    </row>
    <row r="636" ht="15.75" customHeight="1">
      <c r="F636" s="43"/>
    </row>
    <row r="637" ht="15.75" customHeight="1">
      <c r="F637" s="43"/>
    </row>
    <row r="638" ht="15.75" customHeight="1">
      <c r="F638" s="43"/>
    </row>
    <row r="639" ht="15.75" customHeight="1">
      <c r="F639" s="43"/>
    </row>
    <row r="640" ht="15.75" customHeight="1">
      <c r="F640" s="43"/>
    </row>
    <row r="641" ht="15.75" customHeight="1">
      <c r="F641" s="43"/>
    </row>
    <row r="642" ht="15.75" customHeight="1">
      <c r="F642" s="43"/>
    </row>
    <row r="643" ht="15.75" customHeight="1">
      <c r="F643" s="43"/>
    </row>
    <row r="644" ht="15.75" customHeight="1">
      <c r="F644" s="43"/>
    </row>
    <row r="645" ht="15.75" customHeight="1">
      <c r="F645" s="43"/>
    </row>
    <row r="646" ht="15.75" customHeight="1">
      <c r="F646" s="43"/>
    </row>
    <row r="647" ht="15.75" customHeight="1">
      <c r="F647" s="43"/>
    </row>
    <row r="648" ht="15.75" customHeight="1">
      <c r="F648" s="43"/>
    </row>
    <row r="649" ht="15.75" customHeight="1">
      <c r="F649" s="43"/>
    </row>
    <row r="650" ht="15.75" customHeight="1">
      <c r="F650" s="43"/>
    </row>
    <row r="651" ht="15.75" customHeight="1">
      <c r="F651" s="43"/>
    </row>
    <row r="652" ht="15.75" customHeight="1">
      <c r="F652" s="43"/>
    </row>
    <row r="653" ht="15.75" customHeight="1">
      <c r="F653" s="43"/>
    </row>
    <row r="654" ht="15.75" customHeight="1">
      <c r="F654" s="43"/>
    </row>
    <row r="655" ht="15.75" customHeight="1">
      <c r="F655" s="43"/>
    </row>
    <row r="656" ht="15.75" customHeight="1">
      <c r="F656" s="43"/>
    </row>
    <row r="657" ht="15.75" customHeight="1">
      <c r="F657" s="43"/>
    </row>
    <row r="658" ht="15.75" customHeight="1">
      <c r="F658" s="43"/>
    </row>
    <row r="659" ht="15.75" customHeight="1">
      <c r="F659" s="43"/>
    </row>
    <row r="660" ht="15.75" customHeight="1">
      <c r="F660" s="43"/>
    </row>
    <row r="661" ht="15.75" customHeight="1">
      <c r="F661" s="43"/>
    </row>
    <row r="662" ht="15.75" customHeight="1">
      <c r="F662" s="43"/>
    </row>
    <row r="663" ht="15.75" customHeight="1">
      <c r="F663" s="43"/>
    </row>
    <row r="664" ht="15.75" customHeight="1">
      <c r="F664" s="43"/>
    </row>
    <row r="665" ht="15.75" customHeight="1">
      <c r="F665" s="43"/>
    </row>
    <row r="666" ht="15.75" customHeight="1">
      <c r="F666" s="43"/>
    </row>
    <row r="667" ht="15.75" customHeight="1">
      <c r="F667" s="43"/>
    </row>
    <row r="668" ht="15.75" customHeight="1">
      <c r="F668" s="43"/>
    </row>
    <row r="669" ht="15.75" customHeight="1">
      <c r="F669" s="43"/>
    </row>
    <row r="670" ht="15.75" customHeight="1">
      <c r="F670" s="43"/>
    </row>
    <row r="671" ht="15.75" customHeight="1">
      <c r="F671" s="43"/>
    </row>
    <row r="672" ht="15.75" customHeight="1">
      <c r="F672" s="43"/>
    </row>
    <row r="673" ht="15.75" customHeight="1">
      <c r="F673" s="43"/>
    </row>
    <row r="674" ht="15.75" customHeight="1">
      <c r="F674" s="43"/>
    </row>
    <row r="675" ht="15.75" customHeight="1">
      <c r="F675" s="43"/>
    </row>
    <row r="676" ht="15.75" customHeight="1">
      <c r="F676" s="43"/>
    </row>
    <row r="677" ht="15.75" customHeight="1">
      <c r="F677" s="43"/>
    </row>
    <row r="678" ht="15.75" customHeight="1">
      <c r="F678" s="43"/>
    </row>
    <row r="679" ht="15.75" customHeight="1">
      <c r="F679" s="43"/>
    </row>
    <row r="680" ht="15.75" customHeight="1">
      <c r="F680" s="43"/>
    </row>
    <row r="681" ht="15.75" customHeight="1">
      <c r="F681" s="43"/>
    </row>
    <row r="682" ht="15.75" customHeight="1">
      <c r="F682" s="43"/>
    </row>
    <row r="683" ht="15.75" customHeight="1">
      <c r="F683" s="43"/>
    </row>
    <row r="684" ht="15.75" customHeight="1">
      <c r="F684" s="43"/>
    </row>
    <row r="685" ht="15.75" customHeight="1">
      <c r="F685" s="43"/>
    </row>
    <row r="686" ht="15.75" customHeight="1">
      <c r="F686" s="43"/>
    </row>
    <row r="687" ht="15.75" customHeight="1">
      <c r="F687" s="43"/>
    </row>
    <row r="688" ht="15.75" customHeight="1">
      <c r="F688" s="43"/>
    </row>
    <row r="689" ht="15.75" customHeight="1">
      <c r="F689" s="43"/>
    </row>
    <row r="690" ht="15.75" customHeight="1">
      <c r="F690" s="43"/>
    </row>
    <row r="691" ht="15.75" customHeight="1">
      <c r="F691" s="43"/>
    </row>
    <row r="692" ht="15.75" customHeight="1">
      <c r="F692" s="43"/>
    </row>
    <row r="693" ht="15.75" customHeight="1">
      <c r="F693" s="43"/>
    </row>
    <row r="694" ht="15.75" customHeight="1">
      <c r="F694" s="43"/>
    </row>
    <row r="695" ht="15.75" customHeight="1">
      <c r="F695" s="43"/>
    </row>
    <row r="696" ht="15.75" customHeight="1">
      <c r="F696" s="43"/>
    </row>
    <row r="697" ht="15.75" customHeight="1">
      <c r="F697" s="43"/>
    </row>
    <row r="698" ht="15.75" customHeight="1">
      <c r="F698" s="43"/>
    </row>
    <row r="699" ht="15.75" customHeight="1">
      <c r="F699" s="43"/>
    </row>
    <row r="700" ht="15.75" customHeight="1">
      <c r="F700" s="43"/>
    </row>
    <row r="701" ht="15.75" customHeight="1">
      <c r="F701" s="43"/>
    </row>
    <row r="702" ht="15.75" customHeight="1">
      <c r="F702" s="43"/>
    </row>
    <row r="703" ht="15.75" customHeight="1">
      <c r="F703" s="43"/>
    </row>
    <row r="704" ht="15.75" customHeight="1">
      <c r="F704" s="43"/>
    </row>
    <row r="705" ht="15.75" customHeight="1">
      <c r="F705" s="43"/>
    </row>
    <row r="706" ht="15.75" customHeight="1">
      <c r="F706" s="43"/>
    </row>
    <row r="707" ht="15.75" customHeight="1">
      <c r="F707" s="43"/>
    </row>
    <row r="708" ht="15.75" customHeight="1">
      <c r="F708" s="43"/>
    </row>
    <row r="709" ht="15.75" customHeight="1">
      <c r="F709" s="43"/>
    </row>
    <row r="710" ht="15.75" customHeight="1">
      <c r="F710" s="43"/>
    </row>
    <row r="711" ht="15.75" customHeight="1">
      <c r="F711" s="43"/>
    </row>
    <row r="712" ht="15.75" customHeight="1">
      <c r="F712" s="43"/>
    </row>
    <row r="713" ht="15.75" customHeight="1">
      <c r="F713" s="43"/>
    </row>
    <row r="714" ht="15.75" customHeight="1">
      <c r="F714" s="43"/>
    </row>
    <row r="715" ht="15.75" customHeight="1">
      <c r="F715" s="43"/>
    </row>
    <row r="716" ht="15.75" customHeight="1">
      <c r="F716" s="43"/>
    </row>
    <row r="717" ht="15.75" customHeight="1">
      <c r="F717" s="43"/>
    </row>
    <row r="718" ht="15.75" customHeight="1">
      <c r="F718" s="43"/>
    </row>
    <row r="719" ht="15.75" customHeight="1">
      <c r="F719" s="43"/>
    </row>
    <row r="720" ht="15.75" customHeight="1">
      <c r="F720" s="43"/>
    </row>
    <row r="721" ht="15.75" customHeight="1">
      <c r="F721" s="43"/>
    </row>
    <row r="722" ht="15.75" customHeight="1">
      <c r="F722" s="43"/>
    </row>
    <row r="723" ht="15.75" customHeight="1">
      <c r="F723" s="43"/>
    </row>
    <row r="724" ht="15.75" customHeight="1">
      <c r="F724" s="43"/>
    </row>
    <row r="725" ht="15.75" customHeight="1">
      <c r="F725" s="43"/>
    </row>
    <row r="726" ht="15.75" customHeight="1">
      <c r="F726" s="43"/>
    </row>
    <row r="727" ht="15.75" customHeight="1">
      <c r="F727" s="43"/>
    </row>
    <row r="728" ht="15.75" customHeight="1">
      <c r="F728" s="43"/>
    </row>
    <row r="729" ht="15.75" customHeight="1">
      <c r="F729" s="43"/>
    </row>
    <row r="730" ht="15.75" customHeight="1">
      <c r="F730" s="43"/>
    </row>
    <row r="731" ht="15.75" customHeight="1">
      <c r="F731" s="43"/>
    </row>
    <row r="732" ht="15.75" customHeight="1">
      <c r="F732" s="43"/>
    </row>
    <row r="733" ht="15.75" customHeight="1">
      <c r="F733" s="43"/>
    </row>
    <row r="734" ht="15.75" customHeight="1">
      <c r="F734" s="43"/>
    </row>
    <row r="735" ht="15.75" customHeight="1">
      <c r="F735" s="43"/>
    </row>
    <row r="736" ht="15.75" customHeight="1">
      <c r="F736" s="43"/>
    </row>
    <row r="737" ht="15.75" customHeight="1">
      <c r="F737" s="43"/>
    </row>
    <row r="738" ht="15.75" customHeight="1">
      <c r="F738" s="43"/>
    </row>
    <row r="739" ht="15.75" customHeight="1">
      <c r="F739" s="43"/>
    </row>
    <row r="740" ht="15.75" customHeight="1">
      <c r="F740" s="43"/>
    </row>
    <row r="741" ht="15.75" customHeight="1">
      <c r="F741" s="43"/>
    </row>
    <row r="742" ht="15.75" customHeight="1">
      <c r="F742" s="43"/>
    </row>
    <row r="743" ht="15.75" customHeight="1">
      <c r="F743" s="43"/>
    </row>
    <row r="744" ht="15.75" customHeight="1">
      <c r="F744" s="43"/>
    </row>
    <row r="745" ht="15.75" customHeight="1">
      <c r="F745" s="43"/>
    </row>
    <row r="746" ht="15.75" customHeight="1">
      <c r="F746" s="43"/>
    </row>
    <row r="747" ht="15.75" customHeight="1">
      <c r="F747" s="43"/>
    </row>
    <row r="748" ht="15.75" customHeight="1">
      <c r="F748" s="43"/>
    </row>
    <row r="749" ht="15.75" customHeight="1">
      <c r="F749" s="43"/>
    </row>
    <row r="750" ht="15.75" customHeight="1">
      <c r="F750" s="43"/>
    </row>
    <row r="751" ht="15.75" customHeight="1">
      <c r="F751" s="43"/>
    </row>
    <row r="752" ht="15.75" customHeight="1">
      <c r="F752" s="43"/>
    </row>
    <row r="753" ht="15.75" customHeight="1">
      <c r="F753" s="43"/>
    </row>
    <row r="754" ht="15.75" customHeight="1">
      <c r="F754" s="43"/>
    </row>
    <row r="755" ht="15.75" customHeight="1">
      <c r="F755" s="43"/>
    </row>
    <row r="756" ht="15.75" customHeight="1">
      <c r="F756" s="43"/>
    </row>
    <row r="757" ht="15.75" customHeight="1">
      <c r="F757" s="43"/>
    </row>
    <row r="758" ht="15.75" customHeight="1">
      <c r="F758" s="43"/>
    </row>
    <row r="759" ht="15.75" customHeight="1">
      <c r="F759" s="43"/>
    </row>
    <row r="760" ht="15.75" customHeight="1">
      <c r="F760" s="43"/>
    </row>
    <row r="761" ht="15.75" customHeight="1">
      <c r="F761" s="43"/>
    </row>
    <row r="762" ht="15.75" customHeight="1">
      <c r="F762" s="43"/>
    </row>
    <row r="763" ht="15.75" customHeight="1">
      <c r="F763" s="43"/>
    </row>
    <row r="764" ht="15.75" customHeight="1">
      <c r="F764" s="43"/>
    </row>
    <row r="765" ht="15.75" customHeight="1">
      <c r="F765" s="43"/>
    </row>
    <row r="766" ht="15.75" customHeight="1">
      <c r="F766" s="43"/>
    </row>
    <row r="767" ht="15.75" customHeight="1">
      <c r="F767" s="43"/>
    </row>
    <row r="768" ht="15.75" customHeight="1">
      <c r="F768" s="43"/>
    </row>
    <row r="769" ht="15.75" customHeight="1">
      <c r="F769" s="43"/>
    </row>
    <row r="770" ht="15.75" customHeight="1">
      <c r="F770" s="43"/>
    </row>
    <row r="771" ht="15.75" customHeight="1">
      <c r="F771" s="43"/>
    </row>
    <row r="772" ht="15.75" customHeight="1">
      <c r="F772" s="43"/>
    </row>
    <row r="773" ht="15.75" customHeight="1">
      <c r="F773" s="43"/>
    </row>
    <row r="774" ht="15.75" customHeight="1">
      <c r="F774" s="43"/>
    </row>
    <row r="775" ht="15.75" customHeight="1">
      <c r="F775" s="43"/>
    </row>
    <row r="776" ht="15.75" customHeight="1">
      <c r="F776" s="43"/>
    </row>
    <row r="777" ht="15.75" customHeight="1">
      <c r="F777" s="43"/>
    </row>
    <row r="778" ht="15.75" customHeight="1">
      <c r="F778" s="43"/>
    </row>
    <row r="779" ht="15.75" customHeight="1">
      <c r="F779" s="43"/>
    </row>
    <row r="780" ht="15.75" customHeight="1">
      <c r="F780" s="43"/>
    </row>
    <row r="781" ht="15.75" customHeight="1">
      <c r="F781" s="43"/>
    </row>
    <row r="782" ht="15.75" customHeight="1">
      <c r="F782" s="43"/>
    </row>
    <row r="783" ht="15.75" customHeight="1">
      <c r="F783" s="43"/>
    </row>
    <row r="784" ht="15.75" customHeight="1">
      <c r="F784" s="43"/>
    </row>
    <row r="785" ht="15.75" customHeight="1">
      <c r="F785" s="43"/>
    </row>
    <row r="786" ht="15.75" customHeight="1">
      <c r="F786" s="43"/>
    </row>
    <row r="787" ht="15.75" customHeight="1">
      <c r="F787" s="43"/>
    </row>
    <row r="788" ht="15.75" customHeight="1">
      <c r="F788" s="43"/>
    </row>
    <row r="789" ht="15.75" customHeight="1">
      <c r="F789" s="43"/>
    </row>
    <row r="790" ht="15.75" customHeight="1">
      <c r="F790" s="43"/>
    </row>
    <row r="791" ht="15.75" customHeight="1">
      <c r="F791" s="43"/>
    </row>
    <row r="792" ht="15.75" customHeight="1">
      <c r="F792" s="43"/>
    </row>
    <row r="793" ht="15.75" customHeight="1">
      <c r="F793" s="43"/>
    </row>
    <row r="794" ht="15.75" customHeight="1">
      <c r="F794" s="43"/>
    </row>
    <row r="795" ht="15.75" customHeight="1">
      <c r="F795" s="43"/>
    </row>
    <row r="796" ht="15.75" customHeight="1">
      <c r="F796" s="43"/>
    </row>
    <row r="797" ht="15.75" customHeight="1">
      <c r="F797" s="43"/>
    </row>
    <row r="798" ht="15.75" customHeight="1">
      <c r="F798" s="43"/>
    </row>
    <row r="799" ht="15.75" customHeight="1">
      <c r="F799" s="43"/>
    </row>
    <row r="800" ht="15.75" customHeight="1">
      <c r="F800" s="43"/>
    </row>
    <row r="801" ht="15.75" customHeight="1">
      <c r="F801" s="43"/>
    </row>
    <row r="802" ht="15.75" customHeight="1">
      <c r="F802" s="43"/>
    </row>
    <row r="803" ht="15.75" customHeight="1">
      <c r="F803" s="43"/>
    </row>
    <row r="804" ht="15.75" customHeight="1">
      <c r="F804" s="43"/>
    </row>
    <row r="805" ht="15.75" customHeight="1">
      <c r="F805" s="43"/>
    </row>
    <row r="806" ht="15.75" customHeight="1">
      <c r="F806" s="43"/>
    </row>
    <row r="807" ht="15.75" customHeight="1">
      <c r="F807" s="43"/>
    </row>
    <row r="808" ht="15.75" customHeight="1">
      <c r="F808" s="43"/>
    </row>
    <row r="809" ht="15.75" customHeight="1">
      <c r="F809" s="43"/>
    </row>
    <row r="810" ht="15.75" customHeight="1">
      <c r="F810" s="43"/>
    </row>
    <row r="811" ht="15.75" customHeight="1">
      <c r="F811" s="43"/>
    </row>
    <row r="812" ht="15.75" customHeight="1">
      <c r="F812" s="43"/>
    </row>
    <row r="813" ht="15.75" customHeight="1">
      <c r="F813" s="43"/>
    </row>
    <row r="814" ht="15.75" customHeight="1">
      <c r="F814" s="43"/>
    </row>
    <row r="815" ht="15.75" customHeight="1">
      <c r="F815" s="43"/>
    </row>
    <row r="816" ht="15.75" customHeight="1">
      <c r="F816" s="43"/>
    </row>
    <row r="817" ht="15.75" customHeight="1">
      <c r="F817" s="43"/>
    </row>
    <row r="818" ht="15.75" customHeight="1">
      <c r="F818" s="43"/>
    </row>
    <row r="819" ht="15.75" customHeight="1">
      <c r="F819" s="43"/>
    </row>
    <row r="820" ht="15.75" customHeight="1">
      <c r="F820" s="43"/>
    </row>
    <row r="821" ht="15.75" customHeight="1">
      <c r="F821" s="43"/>
    </row>
    <row r="822" ht="15.75" customHeight="1">
      <c r="F822" s="43"/>
    </row>
    <row r="823" ht="15.75" customHeight="1">
      <c r="F823" s="43"/>
    </row>
    <row r="824" ht="15.75" customHeight="1">
      <c r="F824" s="43"/>
    </row>
    <row r="825" ht="15.75" customHeight="1">
      <c r="F825" s="43"/>
    </row>
    <row r="826" ht="15.75" customHeight="1">
      <c r="F826" s="43"/>
    </row>
    <row r="827" ht="15.75" customHeight="1">
      <c r="F827" s="43"/>
    </row>
    <row r="828" ht="15.75" customHeight="1">
      <c r="F828" s="43"/>
    </row>
    <row r="829" ht="15.75" customHeight="1">
      <c r="F829" s="43"/>
    </row>
    <row r="830" ht="15.75" customHeight="1">
      <c r="F830" s="43"/>
    </row>
    <row r="831" ht="15.75" customHeight="1">
      <c r="F831" s="43"/>
    </row>
    <row r="832" ht="15.75" customHeight="1">
      <c r="F832" s="43"/>
    </row>
    <row r="833" ht="15.75" customHeight="1">
      <c r="F833" s="43"/>
    </row>
    <row r="834" ht="15.75" customHeight="1">
      <c r="F834" s="43"/>
    </row>
    <row r="835" ht="15.75" customHeight="1">
      <c r="F835" s="43"/>
    </row>
    <row r="836" ht="15.75" customHeight="1">
      <c r="F836" s="43"/>
    </row>
    <row r="837" ht="15.75" customHeight="1">
      <c r="F837" s="43"/>
    </row>
    <row r="838" ht="15.75" customHeight="1">
      <c r="F838" s="43"/>
    </row>
    <row r="839" ht="15.75" customHeight="1">
      <c r="F839" s="43"/>
    </row>
    <row r="840" ht="15.75" customHeight="1">
      <c r="F840" s="43"/>
    </row>
    <row r="841" ht="15.75" customHeight="1">
      <c r="F841" s="43"/>
    </row>
    <row r="842" ht="15.75" customHeight="1">
      <c r="F842" s="43"/>
    </row>
    <row r="843" ht="15.75" customHeight="1">
      <c r="F843" s="43"/>
    </row>
    <row r="844" ht="15.75" customHeight="1">
      <c r="F844" s="43"/>
    </row>
    <row r="845" ht="15.75" customHeight="1">
      <c r="F845" s="43"/>
    </row>
    <row r="846" ht="15.75" customHeight="1">
      <c r="F846" s="43"/>
    </row>
    <row r="847" ht="15.75" customHeight="1">
      <c r="F847" s="43"/>
    </row>
    <row r="848" ht="15.75" customHeight="1">
      <c r="F848" s="43"/>
    </row>
    <row r="849" ht="15.75" customHeight="1">
      <c r="F849" s="43"/>
    </row>
    <row r="850" ht="15.75" customHeight="1">
      <c r="F850" s="43"/>
    </row>
    <row r="851" ht="15.75" customHeight="1">
      <c r="F851" s="43"/>
    </row>
    <row r="852" ht="15.75" customHeight="1">
      <c r="F852" s="43"/>
    </row>
    <row r="853" ht="15.75" customHeight="1">
      <c r="F853" s="43"/>
    </row>
    <row r="854" ht="15.75" customHeight="1">
      <c r="F854" s="43"/>
    </row>
    <row r="855" ht="15.75" customHeight="1">
      <c r="F855" s="43"/>
    </row>
    <row r="856" ht="15.75" customHeight="1">
      <c r="F856" s="43"/>
    </row>
    <row r="857" ht="15.75" customHeight="1">
      <c r="F857" s="43"/>
    </row>
    <row r="858" ht="15.75" customHeight="1">
      <c r="F858" s="43"/>
    </row>
    <row r="859" ht="15.75" customHeight="1">
      <c r="F859" s="43"/>
    </row>
    <row r="860" ht="15.75" customHeight="1">
      <c r="F860" s="43"/>
    </row>
    <row r="861" ht="15.75" customHeight="1">
      <c r="F861" s="43"/>
    </row>
    <row r="862" ht="15.75" customHeight="1">
      <c r="F862" s="43"/>
    </row>
    <row r="863" ht="15.75" customHeight="1">
      <c r="F863" s="43"/>
    </row>
    <row r="864" ht="15.75" customHeight="1">
      <c r="F864" s="43"/>
    </row>
    <row r="865" ht="15.75" customHeight="1">
      <c r="F865" s="43"/>
    </row>
    <row r="866" ht="15.75" customHeight="1">
      <c r="F866" s="43"/>
    </row>
    <row r="867" ht="15.75" customHeight="1">
      <c r="F867" s="43"/>
    </row>
    <row r="868" ht="15.75" customHeight="1">
      <c r="F868" s="43"/>
    </row>
    <row r="869" ht="15.75" customHeight="1">
      <c r="F869" s="43"/>
    </row>
    <row r="870" ht="15.75" customHeight="1">
      <c r="F870" s="43"/>
    </row>
    <row r="871" ht="15.75" customHeight="1">
      <c r="F871" s="43"/>
    </row>
    <row r="872" ht="15.75" customHeight="1">
      <c r="F872" s="43"/>
    </row>
    <row r="873" ht="15.75" customHeight="1">
      <c r="F873" s="43"/>
    </row>
    <row r="874" ht="15.75" customHeight="1">
      <c r="F874" s="43"/>
    </row>
    <row r="875" ht="15.75" customHeight="1">
      <c r="F875" s="43"/>
    </row>
    <row r="876" ht="15.75" customHeight="1">
      <c r="F876" s="43"/>
    </row>
    <row r="877" ht="15.75" customHeight="1">
      <c r="F877" s="43"/>
    </row>
    <row r="878" ht="15.75" customHeight="1">
      <c r="F878" s="43"/>
    </row>
    <row r="879" ht="15.75" customHeight="1">
      <c r="F879" s="43"/>
    </row>
    <row r="880" ht="15.75" customHeight="1">
      <c r="F880" s="43"/>
    </row>
    <row r="881" ht="15.75" customHeight="1">
      <c r="F881" s="43"/>
    </row>
    <row r="882" ht="15.75" customHeight="1">
      <c r="F882" s="43"/>
    </row>
    <row r="883" ht="15.75" customHeight="1">
      <c r="F883" s="43"/>
    </row>
    <row r="884" ht="15.75" customHeight="1">
      <c r="F884" s="43"/>
    </row>
    <row r="885" ht="15.75" customHeight="1">
      <c r="F885" s="43"/>
    </row>
    <row r="886" ht="15.75" customHeight="1">
      <c r="F886" s="43"/>
    </row>
    <row r="887" ht="15.75" customHeight="1">
      <c r="F887" s="43"/>
    </row>
    <row r="888" ht="15.75" customHeight="1">
      <c r="F888" s="43"/>
    </row>
    <row r="889" ht="15.75" customHeight="1">
      <c r="F889" s="43"/>
    </row>
    <row r="890" ht="15.75" customHeight="1">
      <c r="F890" s="43"/>
    </row>
    <row r="891" ht="15.75" customHeight="1">
      <c r="F891" s="43"/>
    </row>
    <row r="892" ht="15.75" customHeight="1">
      <c r="F892" s="43"/>
    </row>
    <row r="893" ht="15.75" customHeight="1">
      <c r="F893" s="43"/>
    </row>
    <row r="894" ht="15.75" customHeight="1">
      <c r="F894" s="43"/>
    </row>
    <row r="895" ht="15.75" customHeight="1">
      <c r="F895" s="43"/>
    </row>
    <row r="896" ht="15.75" customHeight="1">
      <c r="F896" s="43"/>
    </row>
    <row r="897" ht="15.75" customHeight="1">
      <c r="F897" s="43"/>
    </row>
    <row r="898" ht="15.75" customHeight="1">
      <c r="F898" s="43"/>
    </row>
    <row r="899" ht="15.75" customHeight="1">
      <c r="F899" s="43"/>
    </row>
    <row r="900" ht="15.75" customHeight="1">
      <c r="F900" s="43"/>
    </row>
    <row r="901" ht="15.75" customHeight="1">
      <c r="F901" s="43"/>
    </row>
    <row r="902" ht="15.75" customHeight="1">
      <c r="F902" s="43"/>
    </row>
    <row r="903" ht="15.75" customHeight="1">
      <c r="F903" s="43"/>
    </row>
    <row r="904" ht="15.75" customHeight="1">
      <c r="F904" s="43"/>
    </row>
    <row r="905" ht="15.75" customHeight="1">
      <c r="F905" s="43"/>
    </row>
    <row r="906" ht="15.75" customHeight="1">
      <c r="F906" s="43"/>
    </row>
    <row r="907" ht="15.75" customHeight="1">
      <c r="F907" s="43"/>
    </row>
    <row r="908" ht="15.75" customHeight="1">
      <c r="F908" s="43"/>
    </row>
    <row r="909" ht="15.75" customHeight="1">
      <c r="F909" s="43"/>
    </row>
    <row r="910" ht="15.75" customHeight="1">
      <c r="F910" s="43"/>
    </row>
    <row r="911" ht="15.75" customHeight="1">
      <c r="F911" s="43"/>
    </row>
    <row r="912" ht="15.75" customHeight="1">
      <c r="F912" s="43"/>
    </row>
    <row r="913" ht="15.75" customHeight="1">
      <c r="F913" s="43"/>
    </row>
    <row r="914" ht="15.75" customHeight="1">
      <c r="F914" s="43"/>
    </row>
    <row r="915" ht="15.75" customHeight="1">
      <c r="F915" s="43"/>
    </row>
    <row r="916" ht="15.75" customHeight="1">
      <c r="F916" s="43"/>
    </row>
    <row r="917" ht="15.75" customHeight="1">
      <c r="F917" s="43"/>
    </row>
    <row r="918" ht="15.75" customHeight="1">
      <c r="F918" s="43"/>
    </row>
    <row r="919" ht="15.75" customHeight="1">
      <c r="F919" s="43"/>
    </row>
    <row r="920" ht="15.75" customHeight="1">
      <c r="F920" s="43"/>
    </row>
    <row r="921" ht="15.75" customHeight="1">
      <c r="F921" s="43"/>
    </row>
    <row r="922" ht="15.75" customHeight="1">
      <c r="F922" s="43"/>
    </row>
    <row r="923" ht="15.75" customHeight="1">
      <c r="F923" s="43"/>
    </row>
    <row r="924" ht="15.75" customHeight="1">
      <c r="F924" s="43"/>
    </row>
    <row r="925" ht="15.75" customHeight="1">
      <c r="F925" s="43"/>
    </row>
    <row r="926" ht="15.75" customHeight="1">
      <c r="F926" s="43"/>
    </row>
    <row r="927" ht="15.75" customHeight="1">
      <c r="F927" s="43"/>
    </row>
    <row r="928" ht="15.75" customHeight="1">
      <c r="F928" s="43"/>
    </row>
    <row r="929" ht="15.75" customHeight="1">
      <c r="F929" s="43"/>
    </row>
    <row r="930" ht="15.75" customHeight="1">
      <c r="F930" s="43"/>
    </row>
    <row r="931" ht="15.75" customHeight="1">
      <c r="F931" s="43"/>
    </row>
    <row r="932" ht="15.75" customHeight="1">
      <c r="F932" s="43"/>
    </row>
    <row r="933" ht="15.75" customHeight="1">
      <c r="F933" s="43"/>
    </row>
    <row r="934" ht="15.75" customHeight="1">
      <c r="F934" s="43"/>
    </row>
    <row r="935" ht="15.75" customHeight="1">
      <c r="F935" s="43"/>
    </row>
    <row r="936" ht="15.75" customHeight="1">
      <c r="F936" s="43"/>
    </row>
    <row r="937" ht="15.75" customHeight="1">
      <c r="F937" s="43"/>
    </row>
    <row r="938" ht="15.75" customHeight="1">
      <c r="F938" s="43"/>
    </row>
    <row r="939" ht="15.75" customHeight="1">
      <c r="F939" s="43"/>
    </row>
    <row r="940" ht="15.75" customHeight="1">
      <c r="F940" s="43"/>
    </row>
    <row r="941" ht="15.75" customHeight="1">
      <c r="F941" s="43"/>
    </row>
    <row r="942" ht="15.75" customHeight="1">
      <c r="F942" s="43"/>
    </row>
    <row r="943" ht="15.75" customHeight="1">
      <c r="F943" s="43"/>
    </row>
    <row r="944" ht="15.75" customHeight="1">
      <c r="F944" s="43"/>
    </row>
    <row r="945" ht="15.75" customHeight="1">
      <c r="F945" s="43"/>
    </row>
    <row r="946" ht="15.75" customHeight="1">
      <c r="F946" s="43"/>
    </row>
    <row r="947" ht="15.75" customHeight="1">
      <c r="F947" s="43"/>
    </row>
    <row r="948" ht="15.75" customHeight="1">
      <c r="F948" s="43"/>
    </row>
    <row r="949" ht="15.75" customHeight="1">
      <c r="F949" s="43"/>
    </row>
    <row r="950" ht="15.75" customHeight="1">
      <c r="F950" s="43"/>
    </row>
    <row r="951" ht="15.75" customHeight="1">
      <c r="F951" s="43"/>
    </row>
    <row r="952" ht="15.75" customHeight="1">
      <c r="F952" s="43"/>
    </row>
    <row r="953" ht="15.75" customHeight="1">
      <c r="F953" s="43"/>
    </row>
    <row r="954" ht="15.75" customHeight="1">
      <c r="F954" s="43"/>
    </row>
    <row r="955" ht="15.75" customHeight="1">
      <c r="F955" s="43"/>
    </row>
    <row r="956" ht="15.75" customHeight="1">
      <c r="F956" s="43"/>
    </row>
    <row r="957" ht="15.75" customHeight="1">
      <c r="F957" s="43"/>
    </row>
    <row r="958" ht="15.75" customHeight="1">
      <c r="F958" s="43"/>
    </row>
    <row r="959" ht="15.75" customHeight="1">
      <c r="F959" s="43"/>
    </row>
    <row r="960" ht="15.75" customHeight="1">
      <c r="F960" s="43"/>
    </row>
    <row r="961" ht="15.75" customHeight="1">
      <c r="F961" s="43"/>
    </row>
    <row r="962" ht="15.75" customHeight="1">
      <c r="F962" s="43"/>
    </row>
    <row r="963" ht="15.75" customHeight="1">
      <c r="F963" s="43"/>
    </row>
    <row r="964" ht="15.75" customHeight="1">
      <c r="F964" s="43"/>
    </row>
    <row r="965" ht="15.75" customHeight="1">
      <c r="F965" s="43"/>
    </row>
    <row r="966" ht="15.75" customHeight="1">
      <c r="F966" s="43"/>
    </row>
    <row r="967" ht="15.75" customHeight="1">
      <c r="F967" s="43"/>
    </row>
    <row r="968" ht="15.75" customHeight="1">
      <c r="F968" s="43"/>
    </row>
    <row r="969" ht="15.75" customHeight="1">
      <c r="F969" s="43"/>
    </row>
    <row r="970" ht="15.75" customHeight="1">
      <c r="F970" s="43"/>
    </row>
    <row r="971" ht="15.75" customHeight="1">
      <c r="F971" s="43"/>
    </row>
    <row r="972" ht="15.75" customHeight="1">
      <c r="F972" s="43"/>
    </row>
    <row r="973" ht="15.75" customHeight="1">
      <c r="F973" s="43"/>
    </row>
    <row r="974" ht="15.75" customHeight="1">
      <c r="F974" s="43"/>
    </row>
    <row r="975" ht="15.75" customHeight="1">
      <c r="F975" s="43"/>
    </row>
    <row r="976" ht="15.75" customHeight="1">
      <c r="F976" s="43"/>
    </row>
    <row r="977" ht="15.75" customHeight="1">
      <c r="F977" s="43"/>
    </row>
    <row r="978" ht="15.75" customHeight="1">
      <c r="F978" s="43"/>
    </row>
    <row r="979" ht="15.75" customHeight="1">
      <c r="F979" s="43"/>
    </row>
    <row r="980" ht="15.75" customHeight="1">
      <c r="F980" s="43"/>
    </row>
    <row r="981" ht="15.75" customHeight="1">
      <c r="F981" s="43"/>
    </row>
    <row r="982" ht="15.75" customHeight="1">
      <c r="F982" s="43"/>
    </row>
    <row r="983" ht="15.75" customHeight="1">
      <c r="F983" s="43"/>
    </row>
    <row r="984" ht="15.75" customHeight="1">
      <c r="F984" s="43"/>
    </row>
    <row r="985" ht="15.75" customHeight="1">
      <c r="F985" s="43"/>
    </row>
    <row r="986" ht="15.75" customHeight="1">
      <c r="F986" s="43"/>
    </row>
    <row r="987" ht="15.75" customHeight="1">
      <c r="F987" s="43"/>
    </row>
    <row r="988" ht="15.75" customHeight="1">
      <c r="F988" s="43"/>
    </row>
    <row r="989" ht="15.75" customHeight="1">
      <c r="F989" s="43"/>
    </row>
    <row r="990" ht="15.75" customHeight="1">
      <c r="F990" s="43"/>
    </row>
    <row r="991" ht="15.75" customHeight="1">
      <c r="F991" s="43"/>
    </row>
    <row r="992" ht="15.75" customHeight="1">
      <c r="F992" s="43"/>
    </row>
    <row r="993" ht="15.75" customHeight="1">
      <c r="F993" s="43"/>
    </row>
    <row r="994" ht="15.75" customHeight="1">
      <c r="F994" s="43"/>
    </row>
    <row r="995" ht="15.75" customHeight="1">
      <c r="F995" s="43"/>
    </row>
    <row r="996" ht="15.75" customHeight="1">
      <c r="F996" s="43"/>
    </row>
    <row r="997" ht="15.75" customHeight="1">
      <c r="F997" s="43"/>
    </row>
    <row r="998" ht="15.75" customHeight="1">
      <c r="F998" s="43"/>
    </row>
    <row r="999" ht="15.75" customHeight="1">
      <c r="F999" s="43"/>
    </row>
    <row r="1000" ht="15.75" customHeight="1">
      <c r="F1000" s="43"/>
    </row>
    <row r="1001" ht="15.75" customHeight="1">
      <c r="F1001" s="43"/>
    </row>
  </sheetData>
  <autoFilter ref="$A$4:$F$158">
    <filterColumn colId="5">
      <customFilters>
        <customFilter operator="greaterThan" val="0"/>
      </customFilters>
    </filterColumn>
  </autoFilter>
  <mergeCells count="10">
    <mergeCell ref="A138:B138"/>
    <mergeCell ref="A152:B152"/>
    <mergeCell ref="A159:B159"/>
    <mergeCell ref="C1:D1"/>
    <mergeCell ref="E1:F1"/>
    <mergeCell ref="C3:F3"/>
    <mergeCell ref="A6:B6"/>
    <mergeCell ref="A32:B32"/>
    <mergeCell ref="A88:B88"/>
    <mergeCell ref="A125:B125"/>
  </mergeCells>
  <printOptions/>
  <pageMargins bottom="0.787401575" footer="0.0" header="0.0" left="0.7" right="0.7" top="0.787401575"/>
  <pageSetup paperSize="9" orientation="portrait"/>
  <drawing r:id="rId1"/>
</worksheet>
</file>